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keplante/Desktop/Draft 11/"/>
    </mc:Choice>
  </mc:AlternateContent>
  <xr:revisionPtr revIDLastSave="0" documentId="13_ncr:1_{00F79D95-A0E5-C04E-9778-D86685C968A2}" xr6:coauthVersionLast="47" xr6:coauthVersionMax="47" xr10:uidLastSave="{00000000-0000-0000-0000-000000000000}"/>
  <bookViews>
    <workbookView xWindow="8780" yWindow="900" windowWidth="20360" windowHeight="16920" tabRatio="649" activeTab="6" xr2:uid="{D5BF8C1F-C5D5-42D4-B410-6E63EDEBEA0C}"/>
  </bookViews>
  <sheets>
    <sheet name="Inputs" sheetId="17" r:id="rId1"/>
    <sheet name="Capital Costs" sheetId="18" r:id="rId2"/>
    <sheet name="Operating Costs" sheetId="21" r:id="rId3"/>
    <sheet name="Direct Cost Breakdown " sheetId="24" r:id="rId4"/>
    <sheet name="FCI, Taxes, Insurance" sheetId="22" r:id="rId5"/>
    <sheet name="Outputs" sheetId="23" r:id="rId6"/>
    <sheet name="Overall" sheetId="19" r:id="rId7"/>
    <sheet name="CO2 Requirement" sheetId="26" r:id="rId8"/>
    <sheet name="Comparison" sheetId="2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2" l="1"/>
  <c r="F7" i="22"/>
  <c r="F8" i="22"/>
  <c r="F9" i="22"/>
  <c r="F10" i="22"/>
  <c r="F11" i="22"/>
  <c r="F12" i="22"/>
  <c r="F13" i="22"/>
  <c r="F14" i="22"/>
  <c r="F15" i="22"/>
  <c r="F16" i="22"/>
  <c r="F17" i="22"/>
  <c r="F5" i="22"/>
  <c r="D17" i="22"/>
  <c r="C12" i="19"/>
  <c r="B9" i="19"/>
  <c r="E4" i="21"/>
  <c r="G4" i="21" s="1"/>
  <c r="F4" i="21"/>
  <c r="D4" i="25"/>
  <c r="G4" i="25"/>
  <c r="I12" i="18"/>
  <c r="C4" i="24"/>
  <c r="C3" i="24"/>
  <c r="C2" i="24"/>
  <c r="C1" i="24"/>
  <c r="I7" i="17"/>
  <c r="I4" i="17"/>
  <c r="I5" i="17"/>
  <c r="I6" i="17"/>
  <c r="I3" i="17"/>
  <c r="C34" i="18"/>
  <c r="C26" i="18"/>
  <c r="J13" i="18" l="1"/>
  <c r="B33" i="18"/>
  <c r="E9" i="23"/>
  <c r="G24" i="23" l="1"/>
  <c r="G23" i="23"/>
  <c r="G26" i="23" s="1"/>
  <c r="G22" i="23" s="1"/>
  <c r="I5" i="18"/>
  <c r="C33" i="18" s="1"/>
  <c r="J5" i="18"/>
  <c r="A11" i="26"/>
  <c r="A13" i="26" s="1"/>
  <c r="A14" i="26" s="1"/>
  <c r="A23" i="26"/>
  <c r="A18" i="26"/>
  <c r="A20" i="26" s="1"/>
  <c r="A21" i="26" s="1"/>
  <c r="A17" i="26"/>
  <c r="A7" i="26"/>
  <c r="A8" i="26" s="1"/>
  <c r="A22" i="26" l="1"/>
  <c r="A24" i="26" s="1"/>
  <c r="A25" i="26" s="1"/>
  <c r="A15" i="26"/>
  <c r="J15" i="18"/>
  <c r="C27" i="18"/>
  <c r="A31" i="17" l="1"/>
  <c r="A33" i="17" s="1"/>
  <c r="B19" i="17" s="1"/>
  <c r="B17" i="17" s="1"/>
  <c r="B3" i="17" s="1"/>
  <c r="A26" i="17"/>
  <c r="A28" i="17" s="1"/>
  <c r="D33" i="18"/>
  <c r="B26" i="18"/>
  <c r="D26" i="18" s="1"/>
  <c r="C2" i="23"/>
  <c r="K2" i="18"/>
  <c r="L2" i="18" s="1"/>
  <c r="C7" i="18"/>
  <c r="L7" i="18"/>
  <c r="C19" i="23" l="1"/>
  <c r="G2" i="23"/>
  <c r="B2" i="18"/>
  <c r="G8" i="18" s="1"/>
  <c r="G3" i="17"/>
  <c r="G9" i="21"/>
  <c r="H3" i="17"/>
  <c r="H8" i="18"/>
  <c r="H10" i="18" s="1"/>
  <c r="C6" i="21"/>
  <c r="C8" i="23"/>
  <c r="C9" i="23" s="1"/>
  <c r="B9" i="23" s="1"/>
  <c r="G9" i="23" s="1"/>
  <c r="C4" i="23"/>
  <c r="D3" i="21"/>
  <c r="D6" i="21" s="1"/>
  <c r="C2" i="18"/>
  <c r="E5" i="17"/>
  <c r="E6" i="21" l="1"/>
  <c r="D2" i="18"/>
  <c r="G2" i="18" s="1"/>
  <c r="H2" i="23"/>
  <c r="H9" i="23"/>
  <c r="D7" i="19" s="1"/>
  <c r="B7" i="19" s="1"/>
  <c r="G13" i="24"/>
  <c r="L9" i="18"/>
  <c r="C11" i="23"/>
  <c r="G11" i="23" s="1"/>
  <c r="H11" i="23" s="1"/>
  <c r="C12" i="23"/>
  <c r="C13" i="23"/>
  <c r="G13" i="23" s="1"/>
  <c r="H13" i="23" s="1"/>
  <c r="C14" i="23"/>
  <c r="G14" i="23" s="1"/>
  <c r="H14" i="23" s="1"/>
  <c r="C15" i="23"/>
  <c r="G15" i="23" s="1"/>
  <c r="H15" i="23" s="1"/>
  <c r="C10" i="23"/>
  <c r="C3" i="23"/>
  <c r="G4" i="23"/>
  <c r="H4" i="23" s="1"/>
  <c r="C5" i="23"/>
  <c r="G5" i="23" s="1"/>
  <c r="H5" i="23" s="1"/>
  <c r="C6" i="23"/>
  <c r="G6" i="23" s="1"/>
  <c r="H6" i="23" s="1"/>
  <c r="C7" i="23"/>
  <c r="G7" i="23" s="1"/>
  <c r="H7" i="23" s="1"/>
  <c r="E12" i="23"/>
  <c r="E10" i="23"/>
  <c r="C7" i="24"/>
  <c r="F3" i="21"/>
  <c r="F5" i="21" s="1"/>
  <c r="F6" i="21" s="1"/>
  <c r="D5" i="21"/>
  <c r="K15" i="18"/>
  <c r="L15" i="18" s="1"/>
  <c r="K14" i="18"/>
  <c r="L14" i="18" s="1"/>
  <c r="L13" i="18"/>
  <c r="M13" i="18" s="1"/>
  <c r="J12" i="18"/>
  <c r="K12" i="18" s="1"/>
  <c r="L12" i="18" s="1"/>
  <c r="J6" i="18"/>
  <c r="B34" i="18" s="1"/>
  <c r="D34" i="18" s="1"/>
  <c r="I11" i="18"/>
  <c r="K10" i="18"/>
  <c r="L10" i="18" s="1"/>
  <c r="I10" i="18"/>
  <c r="M9" i="18"/>
  <c r="I8" i="18"/>
  <c r="K8" i="18"/>
  <c r="L8" i="18" s="1"/>
  <c r="I7" i="18"/>
  <c r="B6" i="17"/>
  <c r="B4" i="17"/>
  <c r="G3" i="23" l="1"/>
  <c r="H3" i="23" s="1"/>
  <c r="C16" i="23"/>
  <c r="G6" i="18"/>
  <c r="G10" i="18" s="1"/>
  <c r="G5" i="18"/>
  <c r="G4" i="18"/>
  <c r="G3" i="18"/>
  <c r="C7" i="19"/>
  <c r="E7" i="19"/>
  <c r="G4" i="17"/>
  <c r="H4" i="17"/>
  <c r="G6" i="17"/>
  <c r="H6" i="17"/>
  <c r="G10" i="23"/>
  <c r="H10" i="23" s="1"/>
  <c r="G12" i="23"/>
  <c r="H12" i="23" s="1"/>
  <c r="B5" i="17"/>
  <c r="M10" i="18"/>
  <c r="M8" i="18"/>
  <c r="M15" i="18"/>
  <c r="M14" i="18"/>
  <c r="M2" i="18"/>
  <c r="M12" i="18"/>
  <c r="B9" i="18"/>
  <c r="J3" i="18"/>
  <c r="B27" i="18" s="1"/>
  <c r="D27" i="18" s="1"/>
  <c r="K6" i="18"/>
  <c r="L6" i="18" s="1"/>
  <c r="K11" i="18"/>
  <c r="L11" i="18" s="1"/>
  <c r="J4" i="18"/>
  <c r="B28" i="18" s="1"/>
  <c r="B11" i="18"/>
  <c r="D11" i="18" s="1"/>
  <c r="G11" i="18" s="1"/>
  <c r="B11" i="21" l="1"/>
  <c r="G15" i="18"/>
  <c r="G14" i="18"/>
  <c r="C5" i="21" s="1"/>
  <c r="G12" i="18"/>
  <c r="C3" i="21" s="1"/>
  <c r="G13" i="18"/>
  <c r="H16" i="23"/>
  <c r="D9" i="19" s="1"/>
  <c r="H5" i="17"/>
  <c r="G5" i="17"/>
  <c r="G7" i="17" s="1"/>
  <c r="B2" i="19" s="1"/>
  <c r="G16" i="23"/>
  <c r="M7" i="18"/>
  <c r="K3" i="18"/>
  <c r="K5" i="18"/>
  <c r="L5" i="18" s="1"/>
  <c r="L4" i="18"/>
  <c r="M4" i="18" s="1"/>
  <c r="H2" i="18"/>
  <c r="B29" i="18" s="1"/>
  <c r="M11" i="18"/>
  <c r="M6" i="18"/>
  <c r="H7" i="17" l="1"/>
  <c r="D2" i="19" s="1"/>
  <c r="E9" i="19"/>
  <c r="L3" i="18"/>
  <c r="M3" i="18" s="1"/>
  <c r="C2" i="19"/>
  <c r="E2" i="19"/>
  <c r="G12" i="24"/>
  <c r="M5" i="18"/>
  <c r="H11" i="18"/>
  <c r="B30" i="18" s="1"/>
  <c r="D11" i="21"/>
  <c r="E11" i="21" s="1"/>
  <c r="G11" i="21" s="1"/>
  <c r="G6" i="21"/>
  <c r="L16" i="18" l="1"/>
  <c r="B19" i="22" s="1"/>
  <c r="C9" i="22" s="1"/>
  <c r="D9" i="22" s="1"/>
  <c r="C9" i="19"/>
  <c r="E3" i="21"/>
  <c r="G12" i="21"/>
  <c r="G16" i="21" s="1"/>
  <c r="E5" i="21"/>
  <c r="C5" i="24"/>
  <c r="G16" i="24" s="1"/>
  <c r="G3" i="21" l="1"/>
  <c r="E7" i="21"/>
  <c r="M16" i="18"/>
  <c r="D4" i="19" s="1"/>
  <c r="B4" i="19" s="1"/>
  <c r="C4" i="19" s="1"/>
  <c r="G5" i="21"/>
  <c r="C8" i="24"/>
  <c r="G15" i="24" s="1"/>
  <c r="C19" i="22"/>
  <c r="C8" i="22"/>
  <c r="D8" i="22" s="1"/>
  <c r="C10" i="22"/>
  <c r="D10" i="22" s="1"/>
  <c r="C6" i="22"/>
  <c r="D6" i="22" s="1"/>
  <c r="C12" i="22"/>
  <c r="D12" i="22" s="1"/>
  <c r="C11" i="22"/>
  <c r="D11" i="22" s="1"/>
  <c r="G7" i="21"/>
  <c r="G15" i="21"/>
  <c r="C11" i="24" s="1"/>
  <c r="C7" i="22"/>
  <c r="D7" i="22" s="1"/>
  <c r="E4" i="19" l="1"/>
  <c r="C6" i="24"/>
  <c r="G14" i="24" s="1"/>
  <c r="B20" i="22"/>
  <c r="C20" i="22" s="1"/>
  <c r="C13" i="22" l="1"/>
  <c r="D13" i="22" s="1"/>
  <c r="C14" i="22"/>
  <c r="D14" i="22" s="1"/>
  <c r="C15" i="22"/>
  <c r="D15" i="22" s="1"/>
  <c r="C21" i="22"/>
  <c r="G13" i="21" s="1"/>
  <c r="G14" i="21" l="1"/>
  <c r="C10" i="24" s="1"/>
  <c r="D16" i="22"/>
  <c r="D5" i="22"/>
  <c r="C9" i="24"/>
  <c r="G17" i="24" l="1"/>
  <c r="G17" i="21"/>
  <c r="D3" i="19" s="1"/>
  <c r="B3" i="19" s="1"/>
  <c r="D5" i="19"/>
  <c r="E5" i="19" s="1"/>
  <c r="B5" i="19" l="1"/>
  <c r="D6" i="19"/>
  <c r="E3" i="19"/>
  <c r="D10" i="19"/>
  <c r="E10" i="19" s="1"/>
  <c r="D11" i="19"/>
  <c r="E11" i="19" s="1"/>
  <c r="C3" i="19"/>
  <c r="C5" i="19" l="1"/>
  <c r="B6" i="19"/>
  <c r="E6" i="19"/>
  <c r="D8" i="19"/>
  <c r="E8" i="19" s="1"/>
  <c r="D13" i="19"/>
  <c r="E13" i="19" s="1"/>
  <c r="B8" i="19" l="1"/>
  <c r="B10" i="19" s="1"/>
  <c r="B11" i="19"/>
  <c r="D14" i="19"/>
  <c r="E14" i="19" s="1"/>
  <c r="E12" i="19"/>
  <c r="C8" i="19"/>
  <c r="C6" i="19"/>
  <c r="D3" i="22" l="1"/>
  <c r="B13" i="19"/>
  <c r="C13" i="19" s="1"/>
  <c r="D4" i="22"/>
  <c r="C11" i="19"/>
  <c r="C10" i="19"/>
  <c r="B14" i="19" l="1"/>
  <c r="C14" i="19" s="1"/>
</calcChain>
</file>

<file path=xl/sharedStrings.xml><?xml version="1.0" encoding="utf-8"?>
<sst xmlns="http://schemas.openxmlformats.org/spreadsheetml/2006/main" count="368" uniqueCount="287">
  <si>
    <t>Units</t>
  </si>
  <si>
    <t>Yeast extract</t>
  </si>
  <si>
    <t>Water</t>
  </si>
  <si>
    <t>Glucose</t>
  </si>
  <si>
    <t>Selling Price</t>
  </si>
  <si>
    <t>$ / tonne</t>
  </si>
  <si>
    <t>$ / y</t>
  </si>
  <si>
    <t>Ni</t>
  </si>
  <si>
    <t>Co</t>
  </si>
  <si>
    <t>Mn</t>
  </si>
  <si>
    <t>Cr</t>
  </si>
  <si>
    <t>Ca</t>
  </si>
  <si>
    <t>Si</t>
  </si>
  <si>
    <t>Al</t>
  </si>
  <si>
    <t>Credit</t>
  </si>
  <si>
    <t>Na</t>
  </si>
  <si>
    <t>K</t>
  </si>
  <si>
    <t>P</t>
  </si>
  <si>
    <t>Ti</t>
  </si>
  <si>
    <t>Price Source</t>
  </si>
  <si>
    <t>Selling price (unconverted)</t>
  </si>
  <si>
    <t>https://material-properties.org/Potassium-properties-applications-price-production/#:~:text=They%20are%20primarily%20driven%20by%20supply%2C%20demand%20and,of%20pure%20Potassium%20were%20at%20around%20850%20%24%2Fkg.</t>
  </si>
  <si>
    <t>6712.69 EUR / tonne</t>
  </si>
  <si>
    <t>Calcium Granule	Electrolytic 98.5%min EXW China	6182,43 EUR	mt https://ise-metal-quotes.com/</t>
  </si>
  <si>
    <t>6182.43 EUR / tonne</t>
  </si>
  <si>
    <t>2590.69 EUR / tonne</t>
  </si>
  <si>
    <t>Magnesite Lump	47%min EXW China	64,33 EUR	mt    https://ise-metal-quotes.com/</t>
  </si>
  <si>
    <t>USD/EUR:</t>
  </si>
  <si>
    <t>https://themoneyconverter.com/EUR/USD</t>
  </si>
  <si>
    <t>Wastewater Treatment</t>
  </si>
  <si>
    <t>Electricity</t>
  </si>
  <si>
    <t>Source</t>
  </si>
  <si>
    <t>https://www.matche.com/equipcost/Tank.html</t>
  </si>
  <si>
    <t>https://www.matche.com/equipcost/PumpCentr.html</t>
  </si>
  <si>
    <t>Total</t>
  </si>
  <si>
    <t>Diffuser</t>
  </si>
  <si>
    <t>https://www.matche.com/equipcost/Agitator.html</t>
  </si>
  <si>
    <t>https://www.matche.com/equipcost/Blower.html</t>
  </si>
  <si>
    <t>https://www.amazon.com/WBCB304-24-Aeration-Diffuser-Stainless-Original/dp/B07KBCF677</t>
  </si>
  <si>
    <t>WBCB304-24 - SSI Aeration - Wide Band Coarse Bubble Diffuser in 304 Stainless Steel x 24’’ Length - Original</t>
  </si>
  <si>
    <t>Electricity - agitation</t>
  </si>
  <si>
    <t>Electricity - air pump</t>
  </si>
  <si>
    <t>national industrial average March 2024 (https://www.eia.gov/electricity/monthly/epm_table_grapher.php?t=epmt_5_6_a)</t>
  </si>
  <si>
    <t>Electricity - liquid pump</t>
  </si>
  <si>
    <t xml:space="preserve">Total: </t>
  </si>
  <si>
    <t>Sum of agitation, air pump, and liquid pump</t>
  </si>
  <si>
    <t>$300 / tonne</t>
  </si>
  <si>
    <t xml:space="preserve">tonne leached metal / y </t>
  </si>
  <si>
    <t>tonne leached metal / tonne leached rock</t>
  </si>
  <si>
    <t>sell none - sequester all geologically</t>
  </si>
  <si>
    <t>Parameters</t>
  </si>
  <si>
    <t xml:space="preserve">Labor </t>
  </si>
  <si>
    <t>Operators per Unit per Shift</t>
  </si>
  <si>
    <t>$/y</t>
  </si>
  <si>
    <t>Maintenance &amp; repairs</t>
  </si>
  <si>
    <t>Operating Supplies</t>
  </si>
  <si>
    <t>Laboratory expenses</t>
  </si>
  <si>
    <t xml:space="preserve">Supervisory </t>
  </si>
  <si>
    <t>10-20% (using 15%) of operating labor costs per Biorenewable Resources (pg 311)</t>
  </si>
  <si>
    <t>2-10% (using 6%) of FCI costs per Biorenewable Resources (pg 312)</t>
  </si>
  <si>
    <t>10-20% (using 15%) of maintenance &amp; repair costs per Biorenewable Resources (pg 312)</t>
  </si>
  <si>
    <t>10-20% (using 15%) of operating labor costs per Biorenewable Resources (pg 312)</t>
  </si>
  <si>
    <t>NaOH</t>
  </si>
  <si>
    <r>
      <t>rock density, accounting for voids from powdering (g / cm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</si>
  <si>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r>
      <t>heap area per membrane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</si>
  <si>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radius (m) for leaching pad</t>
  </si>
  <si>
    <t>height (m) for 2:1 horizontal:vertical heap height</t>
  </si>
  <si>
    <t>radius (m) for heap (decreased for buffer room)</t>
  </si>
  <si>
    <t>mass (tonne/y) of leached rocks (1x heap mass)</t>
  </si>
  <si>
    <t>height (m) for 2:1 horizontal:vertical heap height (decreased for buffer space)</t>
  </si>
  <si>
    <t>Inputs</t>
  </si>
  <si>
    <t>Capital</t>
  </si>
  <si>
    <t>Operating</t>
  </si>
  <si>
    <t>Labor</t>
  </si>
  <si>
    <t>Wastewater treatment</t>
  </si>
  <si>
    <t>Operating supplies</t>
  </si>
  <si>
    <t>Operators per Shift</t>
  </si>
  <si>
    <t>$2250 / tonne</t>
  </si>
  <si>
    <t>https://www.made-in-china.com/products-search/hot-china-products/Wholesale_Pure_Sodium_Metal.html</t>
  </si>
  <si>
    <t>Property Tax</t>
  </si>
  <si>
    <t>Piping</t>
  </si>
  <si>
    <t>Instrumentation and control</t>
  </si>
  <si>
    <t xml:space="preserve">Buildings </t>
  </si>
  <si>
    <t>Service facilities</t>
  </si>
  <si>
    <t>Yard improvement</t>
  </si>
  <si>
    <t>Land</t>
  </si>
  <si>
    <t>Engineering and supervision</t>
  </si>
  <si>
    <t>Construction expenses</t>
  </si>
  <si>
    <t>Contractors fee</t>
  </si>
  <si>
    <t>Insurance</t>
  </si>
  <si>
    <t>2% of FCI</t>
  </si>
  <si>
    <t>31% of PEC</t>
  </si>
  <si>
    <t>18% of PEC</t>
  </si>
  <si>
    <t>10% of PEC</t>
  </si>
  <si>
    <t>38% of PEC</t>
  </si>
  <si>
    <t>40% of PEC</t>
  </si>
  <si>
    <t>6% of PEC</t>
  </si>
  <si>
    <t>8% of TDC</t>
  </si>
  <si>
    <t>10% of TDC</t>
  </si>
  <si>
    <t>5% of TDC</t>
  </si>
  <si>
    <t>1% of FCI</t>
  </si>
  <si>
    <t>Annualized (20 year)</t>
  </si>
  <si>
    <t>FCI, Taxes, Insurance</t>
  </si>
  <si>
    <t>$6.95 / kGal</t>
  </si>
  <si>
    <r>
      <t>volume 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 of cone-shaped heap</t>
    </r>
  </si>
  <si>
    <t>correspondence with industry</t>
  </si>
  <si>
    <r>
      <t>$3 per ft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50,000 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max unless customized per https://www.alibaba.com/product-detail/Heap-Leach-Geomembrane-Pond-Liner-Waterproof_1601125742047.html</t>
    </r>
  </si>
  <si>
    <t>350 gpm, all else left at default; 42.36 bhp, which converts to 31.5878466 kW, 200 min ea for 6x transfers (among different tank types); https://checalc.com/calc/pump.html</t>
  </si>
  <si>
    <r>
      <rPr>
        <sz val="11"/>
        <rFont val="Calibri"/>
        <family val="2"/>
        <scheme val="minor"/>
      </rPr>
      <t xml:space="preserve">average industrial wastewater treatment cost </t>
    </r>
    <r>
      <rPr>
        <u/>
        <sz val="11"/>
        <color theme="10"/>
        <rFont val="Calibri"/>
        <family val="2"/>
        <scheme val="minor"/>
      </rPr>
      <t>https://www.osti.gov/servlets/purl/1975260</t>
    </r>
  </si>
  <si>
    <t>Mg</t>
  </si>
  <si>
    <t>Material</t>
  </si>
  <si>
    <t>Equipment</t>
  </si>
  <si>
    <t>Other</t>
  </si>
  <si>
    <t># of Units</t>
  </si>
  <si>
    <t>Electrical equipment and materials</t>
  </si>
  <si>
    <t>PEC</t>
  </si>
  <si>
    <t>TDC</t>
  </si>
  <si>
    <t>FCI</t>
  </si>
  <si>
    <t>DAC + geologically sequestered; not discounted</t>
  </si>
  <si>
    <t>2014 Price (USD)</t>
  </si>
  <si>
    <t>2014 Total (USD)</t>
  </si>
  <si>
    <t>Fe</t>
  </si>
  <si>
    <t>http://www.leonland.de/elements_by_price/en/list</t>
  </si>
  <si>
    <t>https://crsreports.congress.gov/product/pdf/IF/IF11455</t>
  </si>
  <si>
    <t>$850 / kg</t>
  </si>
  <si>
    <t>https://www.kitco.com/price/base-metals</t>
  </si>
  <si>
    <t>https://tradingeconomics.com/commodity/titanium</t>
  </si>
  <si>
    <t>https://markets.businessinsider.com/commodities/iron-ore-price</t>
  </si>
  <si>
    <t>https://tradingeconomics.com/commodity/manganese</t>
  </si>
  <si>
    <t>https://tradingeconomics.com/commodity/cobalt</t>
  </si>
  <si>
    <t>https://price.metal.com/Chromium</t>
  </si>
  <si>
    <t>Leaching efficiency low</t>
  </si>
  <si>
    <t>17.68 kW rated but 14.14 kW due to 80% loading; 264.978825m^3 (70000 gal), Scale of 5 out of 10; density of 1000 kg/m^3; scaled up for 80% motor power loading; all else left at default; assuming 2 d of growth, 2d of biolixiviant production, 0.1 d of pH adjustment, 0.1 d of magnesite formation; https://checalc.com/solved/agitator.html</t>
  </si>
  <si>
    <t>Yeast Extract</t>
  </si>
  <si>
    <t>Sodium Hydroxide</t>
  </si>
  <si>
    <t>t/y</t>
  </si>
  <si>
    <t>$/kgal</t>
  </si>
  <si>
    <t>Demand</t>
  </si>
  <si>
    <t>$/t</t>
  </si>
  <si>
    <t>Notes</t>
  </si>
  <si>
    <t>Increasing pH from 3 to 8</t>
  </si>
  <si>
    <t>0.05 g YE per g glucose</t>
  </si>
  <si>
    <t xml:space="preserve">100 g / L </t>
  </si>
  <si>
    <t>Assuming 50% water reuse</t>
  </si>
  <si>
    <t>Clarifier</t>
  </si>
  <si>
    <t>Heap</t>
  </si>
  <si>
    <t>Q (L/y)</t>
  </si>
  <si>
    <t>HRT (d)</t>
  </si>
  <si>
    <t>V (L)</t>
  </si>
  <si>
    <t>Size (ea)</t>
  </si>
  <si>
    <t>gal</t>
  </si>
  <si>
    <t>Growth &amp; Biolixiviant Production Tanks</t>
  </si>
  <si>
    <t xml:space="preserve">Agitator </t>
  </si>
  <si>
    <t xml:space="preserve">Air Pump </t>
  </si>
  <si>
    <t>Liquid Pump</t>
  </si>
  <si>
    <t>Annualized Cost</t>
  </si>
  <si>
    <t>Carbonate Formation Tanks</t>
  </si>
  <si>
    <t>kW</t>
  </si>
  <si>
    <t>$/kWh</t>
  </si>
  <si>
    <t>Hours/y</t>
  </si>
  <si>
    <t>kWh/y</t>
  </si>
  <si>
    <t>Electricity - total</t>
  </si>
  <si>
    <t>Reactors &amp; Clarifiers (operating)</t>
  </si>
  <si>
    <t>Tailings (t/y)</t>
  </si>
  <si>
    <t>Overhead (includes administrative)</t>
  </si>
  <si>
    <t>50-70% (using 60%) of operating labor costs per Biorenewable Resources (pg 313); Overhead includes fringe benefits, social security taxes, unemployment insurance, and retirement funds for workers at a facility. It can be a significant fraction of total labor costs and is usually estimated as 50–70% of costs for labor, supervision, and maintenance and repair (which is mostly labor).  Overhead (of which administrative costs are a subset per https://www.investopedia.com/terms/o/overhead.asp)</t>
  </si>
  <si>
    <t>Credits</t>
  </si>
  <si>
    <t xml:space="preserve">Capital </t>
  </si>
  <si>
    <t>$27.78 per https://www.bls.gov/ooh/life-physical-and-social-science/chemical-technicians.htm; use 0.5 for reactors and 0.2 for clarifiers per pg 312 of Biorenewable Resources</t>
  </si>
  <si>
    <t>Assumptions</t>
  </si>
  <si>
    <t>Working days/y</t>
  </si>
  <si>
    <t>Metals Sales</t>
  </si>
  <si>
    <t>Cost Hi</t>
  </si>
  <si>
    <t>Cost Lo</t>
  </si>
  <si>
    <t>Value Lo ($/y)</t>
  </si>
  <si>
    <t>Value Hi ($/y)</t>
  </si>
  <si>
    <t>100% Revenue</t>
  </si>
  <si>
    <t>Discounted Revenue</t>
  </si>
  <si>
    <t>Cost (No Credits)</t>
  </si>
  <si>
    <t>Cost (With Credits)</t>
  </si>
  <si>
    <t>Cost (With Credits &amp; Metals Sales)</t>
  </si>
  <si>
    <t>Cost Hi ($/y)</t>
  </si>
  <si>
    <t>Cost Hi ($/tCO2)</t>
  </si>
  <si>
    <t>Cost Lo ($/y)</t>
  </si>
  <si>
    <t>Cost Lo ($/tCO2)</t>
  </si>
  <si>
    <t>Pulp Density (g rock/10 mL biolixiviant)</t>
  </si>
  <si>
    <t>Rocks (t/y)</t>
  </si>
  <si>
    <t>Water Calculation (L/y)</t>
  </si>
  <si>
    <t>$/Hour</t>
  </si>
  <si>
    <t>State Tax</t>
  </si>
  <si>
    <t xml:space="preserve">Corporate Tax </t>
  </si>
  <si>
    <t>Max Tax / t CO2 captured &amp; stored</t>
  </si>
  <si>
    <t>Taxes (28% of Profits)</t>
  </si>
  <si>
    <t>CEPI 2014</t>
  </si>
  <si>
    <t>CEPI 2025</t>
  </si>
  <si>
    <t>2025 USD</t>
  </si>
  <si>
    <t>Method</t>
  </si>
  <si>
    <t>Function</t>
  </si>
  <si>
    <t>Technology Readiness Level</t>
  </si>
  <si>
    <t>Biochar</t>
  </si>
  <si>
    <t>Capture + store</t>
  </si>
  <si>
    <t>Accelerated Weathering</t>
  </si>
  <si>
    <t>Bio-accelerated Weathering</t>
  </si>
  <si>
    <t>Afforestation and Reforestation</t>
  </si>
  <si>
    <t>Capture + temporarily store</t>
  </si>
  <si>
    <t>Soil Carbon Sequestration</t>
  </si>
  <si>
    <t>Ocean Fertilization</t>
  </si>
  <si>
    <t>Store</t>
  </si>
  <si>
    <t>Direct Air Capture (DAC)</t>
  </si>
  <si>
    <t>Capture</t>
  </si>
  <si>
    <t>Enhanced Oil Recovery (EOR)*</t>
  </si>
  <si>
    <t>Tanks</t>
  </si>
  <si>
    <t>Agitators</t>
  </si>
  <si>
    <t>Diffusers</t>
  </si>
  <si>
    <t>Liquid Pumps</t>
  </si>
  <si>
    <t>http://deepseadrilling.org/37/Volume/dsdp37_13.pdf</t>
  </si>
  <si>
    <t>Tanks, agitators, diffusers, pumps, heap leaching pad</t>
  </si>
  <si>
    <r>
      <t>Cost Estimate (Lo, $/t CO</t>
    </r>
    <r>
      <rPr>
        <b/>
        <vertAlign val="subscript"/>
        <sz val="18"/>
        <color rgb="FF000000"/>
        <rFont val="Calibri"/>
        <family val="2"/>
      </rPr>
      <t>2</t>
    </r>
    <r>
      <rPr>
        <b/>
        <sz val="18"/>
        <color rgb="FF000000"/>
        <rFont val="Calibri"/>
        <family val="2"/>
      </rPr>
      <t>)</t>
    </r>
  </si>
  <si>
    <r>
      <t>Cost Estimate (Hi, $/t CO</t>
    </r>
    <r>
      <rPr>
        <b/>
        <vertAlign val="subscript"/>
        <sz val="18"/>
        <color rgb="FF000000"/>
        <rFont val="Calibri"/>
        <family val="2"/>
      </rPr>
      <t>2</t>
    </r>
    <r>
      <rPr>
        <b/>
        <sz val="18"/>
        <color rgb="FF000000"/>
        <rFont val="Calibri"/>
        <family val="2"/>
      </rPr>
      <t>)</t>
    </r>
  </si>
  <si>
    <r>
      <t>Sequestration Potential Range (Lo, Gt CO</t>
    </r>
    <r>
      <rPr>
        <b/>
        <vertAlign val="subscript"/>
        <sz val="18"/>
        <color rgb="FF000000"/>
        <rFont val="Calibri"/>
        <family val="2"/>
      </rPr>
      <t>2</t>
    </r>
    <r>
      <rPr>
        <b/>
        <sz val="18"/>
        <color rgb="FF000000"/>
        <rFont val="Calibri"/>
        <family val="2"/>
      </rPr>
      <t>/y)</t>
    </r>
  </si>
  <si>
    <r>
      <t>Sequestration Potential Range (Hi, Gt CO</t>
    </r>
    <r>
      <rPr>
        <b/>
        <vertAlign val="subscript"/>
        <sz val="18"/>
        <color rgb="FF000000"/>
        <rFont val="Calibri"/>
        <family val="2"/>
      </rPr>
      <t>2</t>
    </r>
    <r>
      <rPr>
        <b/>
        <sz val="18"/>
        <color rgb="FF000000"/>
        <rFont val="Calibri"/>
        <family val="2"/>
      </rPr>
      <t>/y)</t>
    </r>
  </si>
  <si>
    <t>2025 USD Price</t>
  </si>
  <si>
    <t>https://www.chemanalyst.com/Pricing-data/silica-1304</t>
  </si>
  <si>
    <r>
      <t>$55.67 / tonne (SiO</t>
    </r>
    <r>
      <rPr>
        <vertAlign val="subscript"/>
        <sz val="11"/>
        <color theme="1"/>
        <rFont val="Calibri (Body)"/>
      </rPr>
      <t>2</t>
    </r>
    <r>
      <rPr>
        <sz val="11"/>
        <color theme="1"/>
        <rFont val="Calibri"/>
        <family val="2"/>
        <scheme val="minor"/>
      </rPr>
      <t>)</t>
    </r>
  </si>
  <si>
    <t>Tanks (Increased by 20% for contingency)</t>
  </si>
  <si>
    <t>https://science.nasa.gov/earth/explore/earth-indicators/carbon-dioxide/</t>
  </si>
  <si>
    <t>https://www.hamiltoncompany.com/knowledge-base/article/composition-of-the-atmosphere</t>
  </si>
  <si>
    <t>g air / mol air</t>
  </si>
  <si>
    <t>ppm CO2 (by volume)</t>
  </si>
  <si>
    <t>https://www.jetir.org/papers/JETIR2407154.pdf</t>
  </si>
  <si>
    <t>kg CO2 / kg air</t>
  </si>
  <si>
    <t>kg CO2 / L air</t>
  </si>
  <si>
    <t>cfm</t>
  </si>
  <si>
    <t>L air / min</t>
  </si>
  <si>
    <t>L air / 10 days</t>
  </si>
  <si>
    <t>kg CO2 / 10 days</t>
  </si>
  <si>
    <t>gal / tank</t>
  </si>
  <si>
    <t>L / tank</t>
  </si>
  <si>
    <t>kg rock / L leachate</t>
  </si>
  <si>
    <t>kg Mg / kg rock</t>
  </si>
  <si>
    <t>kg Mg / L leachate</t>
  </si>
  <si>
    <t>kg Mg / L leachate (decreased for leaching efficiency)</t>
  </si>
  <si>
    <t>kg Mg / tank</t>
  </si>
  <si>
    <t>kg CO2 required / kg Mg</t>
  </si>
  <si>
    <t>kg CO2 required / tank</t>
  </si>
  <si>
    <t>pumps per tank</t>
  </si>
  <si>
    <t>total cfm</t>
  </si>
  <si>
    <t>L / ft3</t>
  </si>
  <si>
    <t>57.50 hp, which converts to 42.29118 kW; 70,000 cfm, all else left at default; https://checalc.com/fan.html</t>
  </si>
  <si>
    <t>Supplied CO2 / required CO2</t>
  </si>
  <si>
    <r>
      <t>kg air / m</t>
    </r>
    <r>
      <rPr>
        <vertAlign val="superscript"/>
        <sz val="11"/>
        <color theme="1"/>
        <rFont val="Calibri (Body)"/>
      </rPr>
      <t>3</t>
    </r>
    <r>
      <rPr>
        <sz val="11"/>
        <color theme="1"/>
        <rFont val="Calibri"/>
        <family val="2"/>
        <scheme val="minor"/>
      </rPr>
      <t xml:space="preserve"> air</t>
    </r>
  </si>
  <si>
    <r>
      <t>g CO</t>
    </r>
    <r>
      <rPr>
        <vertAlign val="subscript"/>
        <sz val="11"/>
        <color theme="1"/>
        <rFont val="Calibri (Body)"/>
      </rPr>
      <t>2</t>
    </r>
    <r>
      <rPr>
        <sz val="11"/>
        <color theme="1"/>
        <rFont val="Calibri"/>
        <family val="2"/>
        <scheme val="minor"/>
      </rPr>
      <t xml:space="preserve"> / mol CO</t>
    </r>
    <r>
      <rPr>
        <vertAlign val="subscript"/>
        <sz val="11"/>
        <color theme="1"/>
        <rFont val="Calibri (Body)"/>
      </rPr>
      <t>2</t>
    </r>
  </si>
  <si>
    <t xml:space="preserve">L/y </t>
  </si>
  <si>
    <t>Discount for metals removal &amp; purification (Ni production costs/NI market value)</t>
  </si>
  <si>
    <t>Ni leaching costs ($/t)</t>
  </si>
  <si>
    <t>Ni production costs (assume market value $/t)</t>
  </si>
  <si>
    <t>https://doi.org/10.3390/su151310496</t>
  </si>
  <si>
    <t>Fraction of Ni production costs we replace (leaching; what we can sell Ni for)</t>
  </si>
  <si>
    <t>$180 / tonne for 12 years of plant's 2 yr life</t>
  </si>
  <si>
    <t>Cost (With Metals Sales &amp; No Credits Prior to Taxes)</t>
  </si>
  <si>
    <t>Cost (With Metals Sales &amp; No Credits after Taxes)</t>
  </si>
  <si>
    <t>Cost (With Credits &amp; Metals Sales - After Taxes)</t>
  </si>
  <si>
    <t>Air Pumps Per Growth &amp; Biolixiviant Production Tank</t>
  </si>
  <si>
    <t>Air Pumps Per Carbonate Formation Tanks</t>
  </si>
  <si>
    <t>Air Pumps (Total)</t>
  </si>
  <si>
    <t>Air Pumps (Total, Unrounded, Growth &amp; Biolixiviant Production)</t>
  </si>
  <si>
    <t>Air Pumps (Total, Unrounded, Carbonate Formation)</t>
  </si>
  <si>
    <t>Air Pumps (Total, Rounded, Growth &amp; Biolixiviant Production)</t>
  </si>
  <si>
    <t>Air Pumps (Total, Rounded, Carbonate Formation)</t>
  </si>
  <si>
    <t>Units (in use)</t>
  </si>
  <si>
    <t>Units (In Use Full Time)</t>
  </si>
  <si>
    <t>Value AVG ($/y)</t>
  </si>
  <si>
    <t>Turbine, Top Entering, (14.14 kW), Carbon Steel, Atmospheric Internal Pressure</t>
  </si>
  <si>
    <r>
      <t>Sequestration Potential Range (Median, Gt CO</t>
    </r>
    <r>
      <rPr>
        <b/>
        <vertAlign val="subscript"/>
        <sz val="18"/>
        <color rgb="FF000000"/>
        <rFont val="Calibri"/>
        <family val="2"/>
      </rPr>
      <t>2</t>
    </r>
    <r>
      <rPr>
        <b/>
        <sz val="18"/>
        <color rgb="FF000000"/>
        <rFont val="Calibri"/>
        <family val="2"/>
      </rPr>
      <t>/y)</t>
    </r>
  </si>
  <si>
    <r>
      <t>Cost Estimate (Median, $/t CO</t>
    </r>
    <r>
      <rPr>
        <b/>
        <vertAlign val="subscript"/>
        <sz val="18"/>
        <color rgb="FF000000"/>
        <rFont val="Calibri"/>
        <family val="2"/>
      </rPr>
      <t>2</t>
    </r>
    <r>
      <rPr>
        <b/>
        <sz val="18"/>
        <color rgb="FF000000"/>
        <rFont val="Calibri"/>
        <family val="2"/>
      </rPr>
      <t>)</t>
    </r>
  </si>
  <si>
    <t>Horizontal, ANSI, 1-Stage Centrifugal Pump, 8 inch Discharge Pipe Diameter; Cast Iron &amp; API-610, Packing Seal Type</t>
  </si>
  <si>
    <t>Horiz, Round Ends, 70000 gal</t>
  </si>
  <si>
    <t>SuperPro</t>
  </si>
  <si>
    <t>Centrifugal, large, 70,000 cfm</t>
  </si>
  <si>
    <t>CO2 Mineralization Efficiency</t>
  </si>
  <si>
    <t>Electricity - heating</t>
  </si>
  <si>
    <t>J/g C</t>
  </si>
  <si>
    <t>Temp, initial (C)</t>
  </si>
  <si>
    <t>Temp, final (C)</t>
  </si>
  <si>
    <t>J/kWh</t>
  </si>
  <si>
    <t>Heating efficiency</t>
  </si>
  <si>
    <t>g /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</si>
</sst>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rgb="FF000000"/>
      <name val="Calibri"/>
      <family val="2"/>
    </font>
    <font>
      <b/>
      <vertAlign val="subscript"/>
      <sz val="18"/>
      <color rgb="FF000000"/>
      <name val="Calibri"/>
      <family val="2"/>
    </font>
    <font>
      <sz val="18"/>
      <color rgb="FF000000"/>
      <name val="Calibri"/>
      <family val="2"/>
    </font>
    <font>
      <sz val="18"/>
      <name val="Calibri"/>
      <family val="2"/>
    </font>
    <font>
      <vertAlign val="subscript"/>
      <sz val="11"/>
      <color theme="1"/>
      <name val="Calibri (Body)"/>
    </font>
    <font>
      <vertAlign val="superscript"/>
      <sz val="11"/>
      <color theme="1"/>
      <name val="Calibri (Body)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</cellStyleXfs>
  <cellXfs count="1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6" xfId="0" applyBorder="1" applyAlignment="1">
      <alignment vertical="center" wrapText="1"/>
    </xf>
    <xf numFmtId="0" fontId="0" fillId="0" borderId="6" xfId="0" applyBorder="1"/>
    <xf numFmtId="44" fontId="0" fillId="0" borderId="6" xfId="2" applyFont="1" applyBorder="1"/>
    <xf numFmtId="0" fontId="2" fillId="0" borderId="0" xfId="1" applyFill="1" applyAlignment="1">
      <alignment vertical="center" wrapText="1"/>
    </xf>
    <xf numFmtId="44" fontId="0" fillId="0" borderId="6" xfId="2" applyFont="1" applyFill="1" applyBorder="1"/>
    <xf numFmtId="0" fontId="2" fillId="0" borderId="0" xfId="1" applyFill="1"/>
    <xf numFmtId="0" fontId="0" fillId="0" borderId="1" xfId="0" applyBorder="1"/>
    <xf numFmtId="0" fontId="0" fillId="0" borderId="2" xfId="0" applyBorder="1"/>
    <xf numFmtId="0" fontId="0" fillId="0" borderId="4" xfId="0" applyBorder="1"/>
    <xf numFmtId="44" fontId="0" fillId="0" borderId="4" xfId="2" applyFont="1" applyBorder="1"/>
    <xf numFmtId="0" fontId="0" fillId="0" borderId="5" xfId="0" applyBorder="1"/>
    <xf numFmtId="0" fontId="0" fillId="0" borderId="10" xfId="0" applyBorder="1"/>
    <xf numFmtId="0" fontId="0" fillId="0" borderId="11" xfId="0" applyBorder="1"/>
    <xf numFmtId="44" fontId="0" fillId="0" borderId="11" xfId="0" applyNumberFormat="1" applyBorder="1"/>
    <xf numFmtId="44" fontId="0" fillId="0" borderId="11" xfId="2" applyFont="1" applyBorder="1"/>
    <xf numFmtId="0" fontId="0" fillId="0" borderId="3" xfId="0" applyBorder="1"/>
    <xf numFmtId="0" fontId="2" fillId="0" borderId="9" xfId="1" applyBorder="1"/>
    <xf numFmtId="0" fontId="2" fillId="0" borderId="13" xfId="1" applyBorder="1"/>
    <xf numFmtId="0" fontId="2" fillId="0" borderId="12" xfId="1" applyBorder="1"/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7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2" fillId="0" borderId="17" xfId="1" applyBorder="1" applyAlignment="1">
      <alignment vertical="center"/>
    </xf>
    <xf numFmtId="44" fontId="0" fillId="0" borderId="4" xfId="2" applyFont="1" applyBorder="1" applyAlignment="1">
      <alignment vertical="center"/>
    </xf>
    <xf numFmtId="44" fontId="0" fillId="0" borderId="6" xfId="2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2" fillId="0" borderId="8" xfId="1" applyBorder="1"/>
    <xf numFmtId="0" fontId="0" fillId="0" borderId="19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20" xfId="0" applyBorder="1" applyAlignment="1">
      <alignment vertical="center"/>
    </xf>
    <xf numFmtId="44" fontId="0" fillId="0" borderId="2" xfId="2" applyFont="1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14" xfId="0" applyBorder="1" applyAlignment="1">
      <alignment vertical="center"/>
    </xf>
    <xf numFmtId="44" fontId="0" fillId="0" borderId="21" xfId="2" applyFont="1" applyBorder="1" applyAlignment="1">
      <alignment vertical="center"/>
    </xf>
    <xf numFmtId="44" fontId="0" fillId="0" borderId="8" xfId="2" applyFont="1" applyBorder="1" applyAlignment="1">
      <alignment vertical="center"/>
    </xf>
    <xf numFmtId="44" fontId="0" fillId="0" borderId="9" xfId="2" applyFont="1" applyBorder="1" applyAlignment="1">
      <alignment vertical="center"/>
    </xf>
    <xf numFmtId="44" fontId="0" fillId="0" borderId="13" xfId="2" applyFont="1" applyBorder="1" applyAlignment="1">
      <alignment vertical="center"/>
    </xf>
    <xf numFmtId="44" fontId="0" fillId="0" borderId="24" xfId="2" applyFont="1" applyBorder="1" applyAlignment="1">
      <alignment vertical="center"/>
    </xf>
    <xf numFmtId="0" fontId="0" fillId="2" borderId="2" xfId="0" applyFill="1" applyBorder="1" applyAlignment="1">
      <alignment horizontal="right" vertical="center"/>
    </xf>
    <xf numFmtId="44" fontId="0" fillId="2" borderId="8" xfId="2" applyFont="1" applyFill="1" applyBorder="1" applyAlignment="1">
      <alignment vertical="center"/>
    </xf>
    <xf numFmtId="0" fontId="1" fillId="0" borderId="25" xfId="0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26" xfId="0" applyBorder="1" applyAlignment="1">
      <alignment vertical="center"/>
    </xf>
    <xf numFmtId="44" fontId="0" fillId="0" borderId="18" xfId="0" applyNumberFormat="1" applyBorder="1" applyAlignment="1">
      <alignment vertical="center"/>
    </xf>
    <xf numFmtId="44" fontId="0" fillId="0" borderId="0" xfId="0" applyNumberFormat="1"/>
    <xf numFmtId="44" fontId="0" fillId="0" borderId="0" xfId="0" applyNumberFormat="1" applyAlignment="1">
      <alignment vertical="center" wrapText="1"/>
    </xf>
    <xf numFmtId="0" fontId="2" fillId="0" borderId="0" xfId="1" applyBorder="1" applyAlignment="1">
      <alignment vertical="center" wrapText="1"/>
    </xf>
    <xf numFmtId="0" fontId="5" fillId="0" borderId="9" xfId="1" applyFont="1" applyBorder="1" applyAlignment="1">
      <alignment vertical="center"/>
    </xf>
    <xf numFmtId="44" fontId="0" fillId="0" borderId="6" xfId="0" applyNumberFormat="1" applyBorder="1"/>
    <xf numFmtId="0" fontId="2" fillId="0" borderId="0" xfId="1" applyFill="1" applyAlignment="1">
      <alignment wrapText="1"/>
    </xf>
    <xf numFmtId="44" fontId="2" fillId="0" borderId="0" xfId="1" applyNumberFormat="1" applyFill="1" applyBorder="1" applyAlignment="1">
      <alignment horizontal="left" vertical="center" wrapText="1"/>
    </xf>
    <xf numFmtId="44" fontId="0" fillId="0" borderId="6" xfId="2" applyFont="1" applyFill="1" applyBorder="1" applyAlignment="1">
      <alignment vertical="center"/>
    </xf>
    <xf numFmtId="44" fontId="0" fillId="0" borderId="0" xfId="2" applyFont="1" applyFill="1" applyBorder="1" applyAlignment="1">
      <alignment vertical="center"/>
    </xf>
    <xf numFmtId="0" fontId="0" fillId="0" borderId="27" xfId="0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30" xfId="0" applyBorder="1" applyAlignment="1">
      <alignment vertical="center"/>
    </xf>
    <xf numFmtId="44" fontId="0" fillId="0" borderId="31" xfId="2" applyFont="1" applyFill="1" applyBorder="1" applyAlignment="1">
      <alignment vertical="center"/>
    </xf>
    <xf numFmtId="9" fontId="0" fillId="0" borderId="0" xfId="0" applyNumberFormat="1"/>
    <xf numFmtId="0" fontId="1" fillId="0" borderId="0" xfId="0" applyFont="1" applyAlignment="1">
      <alignment horizontal="center"/>
    </xf>
    <xf numFmtId="44" fontId="0" fillId="0" borderId="0" xfId="2" applyFont="1"/>
    <xf numFmtId="44" fontId="0" fillId="2" borderId="0" xfId="2" applyFont="1" applyFill="1"/>
    <xf numFmtId="0" fontId="1" fillId="0" borderId="7" xfId="0" applyFont="1" applyBorder="1" applyAlignment="1">
      <alignment horizontal="center"/>
    </xf>
    <xf numFmtId="0" fontId="1" fillId="0" borderId="27" xfId="0" applyFont="1" applyBorder="1" applyAlignment="1">
      <alignment vertical="center"/>
    </xf>
    <xf numFmtId="0" fontId="0" fillId="0" borderId="28" xfId="0" applyBorder="1" applyAlignment="1">
      <alignment vertical="center"/>
    </xf>
    <xf numFmtId="0" fontId="1" fillId="0" borderId="33" xfId="0" applyFont="1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34" xfId="0" applyBorder="1" applyAlignment="1">
      <alignment vertical="center"/>
    </xf>
    <xf numFmtId="44" fontId="0" fillId="0" borderId="30" xfId="2" applyFont="1" applyBorder="1" applyAlignment="1">
      <alignment vertical="center"/>
    </xf>
    <xf numFmtId="44" fontId="0" fillId="0" borderId="30" xfId="0" applyNumberFormat="1" applyBorder="1" applyAlignment="1">
      <alignment vertical="center"/>
    </xf>
    <xf numFmtId="44" fontId="0" fillId="0" borderId="28" xfId="0" applyNumberFormat="1" applyBorder="1" applyAlignment="1">
      <alignment vertical="center"/>
    </xf>
    <xf numFmtId="44" fontId="1" fillId="0" borderId="7" xfId="2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44" fontId="0" fillId="0" borderId="12" xfId="2" applyFont="1" applyFill="1" applyBorder="1"/>
    <xf numFmtId="0" fontId="1" fillId="0" borderId="0" xfId="0" applyFont="1"/>
    <xf numFmtId="0" fontId="1" fillId="0" borderId="6" xfId="0" applyFont="1" applyBorder="1"/>
    <xf numFmtId="0" fontId="1" fillId="0" borderId="6" xfId="0" applyFont="1" applyBorder="1" applyAlignment="1">
      <alignment horizontal="center"/>
    </xf>
    <xf numFmtId="44" fontId="0" fillId="2" borderId="6" xfId="0" applyNumberFormat="1" applyFill="1" applyBorder="1"/>
    <xf numFmtId="44" fontId="0" fillId="2" borderId="29" xfId="2" applyFont="1" applyFill="1" applyBorder="1"/>
    <xf numFmtId="0" fontId="0" fillId="0" borderId="36" xfId="0" applyBorder="1" applyAlignment="1">
      <alignment vertical="center"/>
    </xf>
    <xf numFmtId="0" fontId="0" fillId="0" borderId="27" xfId="0" applyBorder="1" applyAlignment="1">
      <alignment vertical="center"/>
    </xf>
    <xf numFmtId="0" fontId="6" fillId="0" borderId="37" xfId="0" applyFont="1" applyBorder="1" applyAlignment="1">
      <alignment horizontal="center" vertical="center" wrapText="1" readingOrder="1"/>
    </xf>
    <xf numFmtId="0" fontId="8" fillId="0" borderId="37" xfId="0" applyFont="1" applyBorder="1" applyAlignment="1">
      <alignment horizontal="left" vertical="center" wrapText="1" readingOrder="1"/>
    </xf>
    <xf numFmtId="0" fontId="8" fillId="0" borderId="37" xfId="0" applyFont="1" applyBorder="1" applyAlignment="1">
      <alignment horizontal="right" vertical="center" wrapText="1" indent="1" readingOrder="1"/>
    </xf>
    <xf numFmtId="6" fontId="8" fillId="0" borderId="37" xfId="0" applyNumberFormat="1" applyFont="1" applyBorder="1" applyAlignment="1">
      <alignment horizontal="right" vertical="center" wrapText="1" indent="1" readingOrder="1"/>
    </xf>
    <xf numFmtId="8" fontId="8" fillId="0" borderId="37" xfId="0" applyNumberFormat="1" applyFont="1" applyBorder="1" applyAlignment="1">
      <alignment horizontal="right" vertical="center" wrapText="1" indent="1" readingOrder="1"/>
    </xf>
    <xf numFmtId="5" fontId="9" fillId="0" borderId="37" xfId="0" applyNumberFormat="1" applyFont="1" applyBorder="1" applyAlignment="1">
      <alignment horizontal="right" vertical="center" wrapText="1" indent="1" readingOrder="1"/>
    </xf>
    <xf numFmtId="49" fontId="8" fillId="0" borderId="37" xfId="0" applyNumberFormat="1" applyFont="1" applyBorder="1" applyAlignment="1">
      <alignment horizontal="right" vertical="center" wrapText="1" indent="1" readingOrder="1"/>
    </xf>
    <xf numFmtId="0" fontId="8" fillId="3" borderId="37" xfId="0" applyFont="1" applyFill="1" applyBorder="1" applyAlignment="1">
      <alignment horizontal="left" vertical="center" wrapText="1" readingOrder="1"/>
    </xf>
    <xf numFmtId="0" fontId="8" fillId="4" borderId="37" xfId="0" applyFont="1" applyFill="1" applyBorder="1" applyAlignment="1">
      <alignment horizontal="left" vertical="center" wrapText="1" readingOrder="1"/>
    </xf>
    <xf numFmtId="0" fontId="8" fillId="5" borderId="37" xfId="0" applyFont="1" applyFill="1" applyBorder="1" applyAlignment="1">
      <alignment horizontal="left" vertical="center" wrapText="1" readingOrder="1"/>
    </xf>
    <xf numFmtId="0" fontId="0" fillId="0" borderId="10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2" fillId="0" borderId="0" xfId="1"/>
    <xf numFmtId="0" fontId="2" fillId="0" borderId="0" xfId="1" applyAlignment="1">
      <alignment wrapText="1"/>
    </xf>
    <xf numFmtId="0" fontId="0" fillId="0" borderId="6" xfId="0" applyBorder="1" applyAlignment="1">
      <alignment horizontal="left" vertical="center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CDF-274C-8C5E-334FBEBDF2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CDF-274C-8C5E-334FBEBDF24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CDF-274C-8C5E-334FBEBDF24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CDF-274C-8C5E-334FBEBDF24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CDF-274C-8C5E-334FBEBDF24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CDF-274C-8C5E-334FBEBDF24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CDF-274C-8C5E-334FBEBDF24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CDF-274C-8C5E-334FBEBDF24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CDF-274C-8C5E-334FBEBDF24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CDF-274C-8C5E-334FBEBDF24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CDF-274C-8C5E-334FBEBDF24E}"/>
              </c:ext>
            </c:extLst>
          </c:dPt>
          <c:dLbls>
            <c:dLbl>
              <c:idx val="0"/>
              <c:layout>
                <c:manualLayout>
                  <c:x val="0.27742752000906623"/>
                  <c:y val="5.565117613310384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E1FFC9F-9699-4BE3-9AEF-FEDD7A9921EF}" type="CATEGORYNAME">
                      <a:rPr lang="en-US">
                        <a:solidFill>
                          <a:sysClr val="windowText" lastClr="000000"/>
                        </a:solidFill>
                      </a:rPr>
                      <a:pPr>
                        <a:defRPr sz="1400"/>
                      </a:pPr>
                      <a:t>[CATEGORY NAME]</a:t>
                    </a:fld>
                    <a:endParaRPr lang="en-US"/>
                  </a:p>
                </c:rich>
              </c:tx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451028063663609"/>
                      <c:h val="8.6058519793459562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ECDF-274C-8C5E-334FBEBDF24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B1CCD78-FAB4-4D89-B635-0FEC58178FD8}" type="CATEGORYNAME">
                      <a:rPr lang="en-US">
                        <a:solidFill>
                          <a:schemeClr val="bg1"/>
                        </a:solidFill>
                      </a:rPr>
                      <a:pPr/>
                      <a:t>[CATEGORY NAME]</a:t>
                    </a:fld>
                    <a:endParaRPr lang="en-US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ECDF-274C-8C5E-334FBEBDF24E}"/>
                </c:ext>
              </c:extLst>
            </c:dLbl>
            <c:dLbl>
              <c:idx val="4"/>
              <c:layout>
                <c:manualLayout>
                  <c:x val="0.20794991504404814"/>
                  <c:y val="0.1740028908242943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48D100E-7261-49FE-A120-4412F7375D9E}" type="CATEGORYNAME">
                      <a:rPr lang="en-US">
                        <a:solidFill>
                          <a:schemeClr val="bg1"/>
                        </a:solidFill>
                      </a:rPr>
                      <a:pPr>
                        <a:defRPr sz="1400"/>
                      </a:pPr>
                      <a:t>[CATEGORY NAME]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851672230220167"/>
                      <c:h val="0.2927255231941561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ECDF-274C-8C5E-334FBEBDF24E}"/>
                </c:ext>
              </c:extLst>
            </c:dLbl>
            <c:dLbl>
              <c:idx val="5"/>
              <c:layout>
                <c:manualLayout>
                  <c:x val="-0.2025480563132056"/>
                  <c:y val="7.4512066522658113E-2"/>
                </c:manualLayout>
              </c:layout>
              <c:tx>
                <c:rich>
                  <a:bodyPr/>
                  <a:lstStyle/>
                  <a:p>
                    <a:fld id="{1195E3C7-F50B-4EB5-9DD5-0049A3D27960}" type="CATEGORYNAME">
                      <a:rPr lang="en-US">
                        <a:solidFill>
                          <a:sysClr val="windowText" lastClr="000000"/>
                        </a:solidFill>
                      </a:rPr>
                      <a:pPr/>
                      <a:t>[CATEGORY NAME]</a:t>
                    </a:fld>
                    <a:endParaRPr lang="en-US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ECDF-274C-8C5E-334FBEBDF24E}"/>
                </c:ext>
              </c:extLst>
            </c:dLbl>
            <c:dLbl>
              <c:idx val="6"/>
              <c:layout>
                <c:manualLayout>
                  <c:x val="-0.30261741648645907"/>
                  <c:y val="3.786793022553596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CDF-274C-8C5E-334FBEBDF24E}"/>
                </c:ext>
              </c:extLst>
            </c:dLbl>
            <c:dLbl>
              <c:idx val="7"/>
              <c:layout>
                <c:manualLayout>
                  <c:x val="-0.20150791849842042"/>
                  <c:y val="-1.0644740203934685E-2"/>
                </c:manualLayout>
              </c:layout>
              <c:tx>
                <c:rich>
                  <a:bodyPr/>
                  <a:lstStyle/>
                  <a:p>
                    <a:fld id="{0D7EEE1D-D353-4E3D-95D7-975366753BAF}" type="CATEGORYNAME">
                      <a:rPr lang="en-US">
                        <a:solidFill>
                          <a:sysClr val="windowText" lastClr="000000"/>
                        </a:solidFill>
                      </a:rPr>
                      <a:pPr/>
                      <a:t>[CATEGORY NAME]</a:t>
                    </a:fld>
                    <a:endParaRPr lang="en-US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F-ECDF-274C-8C5E-334FBEBDF24E}"/>
                </c:ext>
              </c:extLst>
            </c:dLbl>
            <c:dLbl>
              <c:idx val="8"/>
              <c:layout>
                <c:manualLayout>
                  <c:x val="-7.8860623783482929E-3"/>
                  <c:y val="4.71976401179941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CDF-274C-8C5E-334FBEBDF24E}"/>
                </c:ext>
              </c:extLst>
            </c:dLbl>
            <c:dLbl>
              <c:idx val="9"/>
              <c:layout>
                <c:manualLayout>
                  <c:x val="0.15447056038624568"/>
                  <c:y val="-2.404366710798318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CDF-274C-8C5E-334FBEBDF24E}"/>
                </c:ext>
              </c:extLst>
            </c:dLbl>
            <c:dLbl>
              <c:idx val="10"/>
              <c:layout>
                <c:manualLayout>
                  <c:x val="0.3468964532975275"/>
                  <c:y val="2.7499682664471935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CDF-274C-8C5E-334FBEBDF2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'Direct Cost Breakdown '!$B$1:$B$11</c:f>
              <c:strCache>
                <c:ptCount val="11"/>
                <c:pt idx="0">
                  <c:v>Yeast extract</c:v>
                </c:pt>
                <c:pt idx="1">
                  <c:v>Water</c:v>
                </c:pt>
                <c:pt idx="2">
                  <c:v>Glucose</c:v>
                </c:pt>
                <c:pt idx="3">
                  <c:v>NaOH</c:v>
                </c:pt>
                <c:pt idx="4">
                  <c:v>Tanks, agitators, diffusers, pumps, heap leaching pad</c:v>
                </c:pt>
                <c:pt idx="5">
                  <c:v>Electricity</c:v>
                </c:pt>
                <c:pt idx="6">
                  <c:v>Wastewater treatment</c:v>
                </c:pt>
                <c:pt idx="7">
                  <c:v>Labor</c:v>
                </c:pt>
                <c:pt idx="8">
                  <c:v>Maintenance &amp; repairs</c:v>
                </c:pt>
                <c:pt idx="9">
                  <c:v>Operating supplies</c:v>
                </c:pt>
                <c:pt idx="10">
                  <c:v>Laboratory expenses</c:v>
                </c:pt>
              </c:strCache>
            </c:strRef>
          </c:cat>
          <c:val>
            <c:numRef>
              <c:f>'Direct Cost Breakdown '!$C$1:$C$11</c:f>
              <c:numCache>
                <c:formatCode>_("$"* #,##0.00_);_("$"* \(#,##0.00\);_("$"* "-"??_);_(@_)</c:formatCode>
                <c:ptCount val="11"/>
                <c:pt idx="0">
                  <c:v>352486695.73277444</c:v>
                </c:pt>
                <c:pt idx="1">
                  <c:v>4613034.9435631763</c:v>
                </c:pt>
                <c:pt idx="2">
                  <c:v>1206748570.0969102</c:v>
                </c:pt>
                <c:pt idx="3">
                  <c:v>70174.634749178134</c:v>
                </c:pt>
                <c:pt idx="4">
                  <c:v>924533577.86914778</c:v>
                </c:pt>
                <c:pt idx="5">
                  <c:v>179197926.45209679</c:v>
                </c:pt>
                <c:pt idx="6">
                  <c:v>8305853.0719596064</c:v>
                </c:pt>
                <c:pt idx="7">
                  <c:v>114653320.60570942</c:v>
                </c:pt>
                <c:pt idx="8">
                  <c:v>169816478.51584932</c:v>
                </c:pt>
                <c:pt idx="9">
                  <c:v>25472471.777377397</c:v>
                </c:pt>
                <c:pt idx="10">
                  <c:v>14954780.948570793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CDF-274C-8C5E-334FBEBDF24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4EB-DD4C-AED5-A1FE6DE947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4EB-DD4C-AED5-A1FE6DE947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4EB-DD4C-AED5-A1FE6DE947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4EB-DD4C-AED5-A1FE6DE947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4EB-DD4C-AED5-A1FE6DE947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4EB-DD4C-AED5-A1FE6DE947F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56A69EFB-080C-4CB3-BC24-3220F7CE7B34}" type="CATEGORYNAME">
                      <a:rPr lang="en-US">
                        <a:solidFill>
                          <a:schemeClr val="bg1"/>
                        </a:solidFill>
                      </a:rPr>
                      <a:pPr/>
                      <a:t>[CATEGORY NAME]</a:t>
                    </a:fld>
                    <a:endParaRPr lang="en-US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4EB-DD4C-AED5-A1FE6DE947F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3C031D6-081C-48E2-87BF-607EEAC6CB35}" type="CATEGORYNAME">
                      <a:rPr lang="en-US">
                        <a:solidFill>
                          <a:schemeClr val="bg1"/>
                        </a:solidFill>
                      </a:rPr>
                      <a:pPr/>
                      <a:t>[CATEGORY NAME]</a:t>
                    </a:fld>
                    <a:endParaRPr lang="en-US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C4EB-DD4C-AED5-A1FE6DE947F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E88B9D0-D73F-483A-B6E5-BCE3EA7A983D}" type="CATEGORYNAME">
                      <a:rPr lang="en-US">
                        <a:solidFill>
                          <a:schemeClr val="bg1"/>
                        </a:solidFill>
                      </a:rPr>
                      <a:pPr/>
                      <a:t>[CATEGORY NAME]</a:t>
                    </a:fld>
                    <a:endParaRPr lang="en-US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C4EB-DD4C-AED5-A1FE6DE947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'Direct Cost Breakdown '!$F$12:$F$17</c:f>
              <c:strCache>
                <c:ptCount val="6"/>
                <c:pt idx="0">
                  <c:v>Material</c:v>
                </c:pt>
                <c:pt idx="1">
                  <c:v>Water</c:v>
                </c:pt>
                <c:pt idx="2">
                  <c:v>Electricity</c:v>
                </c:pt>
                <c:pt idx="3">
                  <c:v>Labor</c:v>
                </c:pt>
                <c:pt idx="4">
                  <c:v>Equipment</c:v>
                </c:pt>
                <c:pt idx="5">
                  <c:v>Other</c:v>
                </c:pt>
              </c:strCache>
            </c:strRef>
          </c:cat>
          <c:val>
            <c:numRef>
              <c:f>'Direct Cost Breakdown '!$G$12:$G$17</c:f>
              <c:numCache>
                <c:formatCode>_("$"* #,##0.00_);_("$"* \(#,##0.00\);_("$"* "-"??_);_(@_)</c:formatCode>
                <c:ptCount val="6"/>
                <c:pt idx="0">
                  <c:v>1559305440.4644339</c:v>
                </c:pt>
                <c:pt idx="1">
                  <c:v>4613034.9435631763</c:v>
                </c:pt>
                <c:pt idx="2">
                  <c:v>179197926.45209679</c:v>
                </c:pt>
                <c:pt idx="3">
                  <c:v>114653320.60570942</c:v>
                </c:pt>
                <c:pt idx="4">
                  <c:v>924533577.86914778</c:v>
                </c:pt>
                <c:pt idx="5">
                  <c:v>218549584.31375712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4EB-DD4C-AED5-A1FE6DE947F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11</xdr:row>
      <xdr:rowOff>123825</xdr:rowOff>
    </xdr:from>
    <xdr:to>
      <xdr:col>4</xdr:col>
      <xdr:colOff>123826</xdr:colOff>
      <xdr:row>43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66A41C-D17D-1D4F-8DE9-D02EF570FB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723900</xdr:colOff>
      <xdr:row>18</xdr:row>
      <xdr:rowOff>63500</xdr:rowOff>
    </xdr:from>
    <xdr:to>
      <xdr:col>16</xdr:col>
      <xdr:colOff>66676</xdr:colOff>
      <xdr:row>50</xdr:row>
      <xdr:rowOff>73025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1480E4-B112-3A4F-B35C-CABEF707B8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deepseadrilling.org/37/Volume/dsdp37_13.pdf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about:blank" TargetMode="External"/><Relationship Id="rId13" Type="http://schemas.openxmlformats.org/officeDocument/2006/relationships/hyperlink" Target="https://www.matche.com/equipcost/Blower.html" TargetMode="External"/><Relationship Id="rId3" Type="http://schemas.openxmlformats.org/officeDocument/2006/relationships/hyperlink" Target="about:blank" TargetMode="External"/><Relationship Id="rId7" Type="http://schemas.openxmlformats.org/officeDocument/2006/relationships/hyperlink" Target="https://www.matche.com/equipcost/Blower.html" TargetMode="External"/><Relationship Id="rId12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6" Type="http://schemas.openxmlformats.org/officeDocument/2006/relationships/hyperlink" Target="https://www.matche.com/equipcost/Agitator.html" TargetMode="External"/><Relationship Id="rId11" Type="http://schemas.openxmlformats.org/officeDocument/2006/relationships/hyperlink" Target="https://www.matche.com/equipcost/PumpCentr.html" TargetMode="External"/><Relationship Id="rId5" Type="http://schemas.openxmlformats.org/officeDocument/2006/relationships/hyperlink" Target="about:blank" TargetMode="External"/><Relationship Id="rId10" Type="http://schemas.openxmlformats.org/officeDocument/2006/relationships/hyperlink" Target="about:blank" TargetMode="External"/><Relationship Id="rId4" Type="http://schemas.openxmlformats.org/officeDocument/2006/relationships/hyperlink" Target="https://www.matche.com/equipcost/PumpCentr.html" TargetMode="External"/><Relationship Id="rId9" Type="http://schemas.openxmlformats.org/officeDocument/2006/relationships/hyperlink" Target="about:blank" TargetMode="External"/><Relationship Id="rId14" Type="http://schemas.openxmlformats.org/officeDocument/2006/relationships/hyperlink" Target="about:blank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about:blank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3390/su151310496" TargetMode="External"/><Relationship Id="rId3" Type="http://schemas.openxmlformats.org/officeDocument/2006/relationships/hyperlink" Target="about:blank" TargetMode="External"/><Relationship Id="rId7" Type="http://schemas.openxmlformats.org/officeDocument/2006/relationships/hyperlink" Target="https://www.chemanalyst.com/Pricing-data/silica-1304" TargetMode="External"/><Relationship Id="rId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6" Type="http://schemas.openxmlformats.org/officeDocument/2006/relationships/hyperlink" Target="https://crsreports.congress.gov/product/pdf/IF/IF11455" TargetMode="External"/><Relationship Id="rId5" Type="http://schemas.openxmlformats.org/officeDocument/2006/relationships/hyperlink" Target="about:blank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about:blank" TargetMode="External"/><Relationship Id="rId9" Type="http://schemas.openxmlformats.org/officeDocument/2006/relationships/hyperlink" Target="https://www.kitco.com/price/base-metals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amiltoncompany.com/knowledge-base/article/composition-of-the-atmosphere" TargetMode="External"/><Relationship Id="rId1" Type="http://schemas.openxmlformats.org/officeDocument/2006/relationships/hyperlink" Target="https://science.nasa.gov/earth/explore/earth-indicators/carbon-dioxi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8E6FA-9150-2C4F-934A-8403BA716CAB}">
  <dimension ref="A2:J33"/>
  <sheetViews>
    <sheetView zoomScale="150" zoomScaleNormal="150" workbookViewId="0">
      <selection activeCell="I4" sqref="I4"/>
    </sheetView>
  </sheetViews>
  <sheetFormatPr baseColWidth="10" defaultRowHeight="15" x14ac:dyDescent="0.2"/>
  <cols>
    <col min="1" max="1" width="19.33203125" bestFit="1" customWidth="1"/>
    <col min="2" max="2" width="27.6640625" customWidth="1"/>
    <col min="3" max="3" width="40.6640625" customWidth="1"/>
    <col min="4" max="4" width="12.1640625" customWidth="1"/>
    <col min="5" max="5" width="12.1640625" bestFit="1" customWidth="1"/>
    <col min="7" max="7" width="17.33203125" customWidth="1"/>
    <col min="8" max="8" width="17.33203125" bestFit="1" customWidth="1"/>
    <col min="9" max="9" width="17.33203125" customWidth="1"/>
    <col min="13" max="13" width="11.1640625" bestFit="1" customWidth="1"/>
  </cols>
  <sheetData>
    <row r="2" spans="1:10" s="2" customFormat="1" x14ac:dyDescent="0.2">
      <c r="B2" s="2" t="s">
        <v>137</v>
      </c>
      <c r="C2" s="2" t="s">
        <v>0</v>
      </c>
      <c r="D2" s="2" t="s">
        <v>173</v>
      </c>
      <c r="E2" s="2" t="s">
        <v>172</v>
      </c>
      <c r="F2" s="2" t="s">
        <v>0</v>
      </c>
      <c r="G2" s="2" t="s">
        <v>174</v>
      </c>
      <c r="H2" s="2" t="s">
        <v>175</v>
      </c>
      <c r="I2" s="2" t="s">
        <v>271</v>
      </c>
      <c r="J2" s="2" t="s">
        <v>139</v>
      </c>
    </row>
    <row r="3" spans="1:10" x14ac:dyDescent="0.2">
      <c r="A3" t="s">
        <v>2</v>
      </c>
      <c r="B3">
        <f>B17</f>
        <v>4523893421.1692972</v>
      </c>
      <c r="C3" t="s">
        <v>252</v>
      </c>
      <c r="D3" s="80">
        <v>3.86</v>
      </c>
      <c r="E3" s="80">
        <v>3.86</v>
      </c>
      <c r="F3" t="s">
        <v>136</v>
      </c>
      <c r="G3" s="80">
        <f>(B3*D3)/(1000*3.78541)</f>
        <v>4613034.9435631763</v>
      </c>
      <c r="H3" s="80">
        <f>(B3*E3)/(1000*3.78541)</f>
        <v>4613034.9435631763</v>
      </c>
      <c r="I3" s="80">
        <f>AVERAGE(G3:H3)</f>
        <v>4613034.9435631763</v>
      </c>
      <c r="J3" t="s">
        <v>143</v>
      </c>
    </row>
    <row r="4" spans="1:10" x14ac:dyDescent="0.2">
      <c r="A4" t="s">
        <v>3</v>
      </c>
      <c r="B4">
        <f>(B3*100)/(1000*1000)</f>
        <v>452389.34211692977</v>
      </c>
      <c r="C4" t="s">
        <v>135</v>
      </c>
      <c r="D4" s="80">
        <v>450</v>
      </c>
      <c r="E4" s="80">
        <v>4885</v>
      </c>
      <c r="F4" t="s">
        <v>138</v>
      </c>
      <c r="G4" s="64">
        <f>B4*D4</f>
        <v>203575203.95261839</v>
      </c>
      <c r="H4" s="64">
        <f>B4*E4</f>
        <v>2209921936.2412019</v>
      </c>
      <c r="I4" s="80">
        <f t="shared" ref="I4:I6" si="0">AVERAGE(G4:H4)</f>
        <v>1206748570.0969102</v>
      </c>
      <c r="J4" t="s">
        <v>142</v>
      </c>
    </row>
    <row r="5" spans="1:10" x14ac:dyDescent="0.2">
      <c r="A5" t="s">
        <v>133</v>
      </c>
      <c r="B5">
        <f>0.05*B4</f>
        <v>22619.467105846488</v>
      </c>
      <c r="C5" t="s">
        <v>135</v>
      </c>
      <c r="D5" s="80">
        <v>3000</v>
      </c>
      <c r="E5" s="80">
        <f>(169*1000*1000)/6000</f>
        <v>28166.666666666668</v>
      </c>
      <c r="F5" t="s">
        <v>138</v>
      </c>
      <c r="G5" s="64">
        <f>B5*D5</f>
        <v>67858401.317539468</v>
      </c>
      <c r="H5" s="64">
        <f>B5*E5</f>
        <v>637114990.14800942</v>
      </c>
      <c r="I5" s="80">
        <f t="shared" si="0"/>
        <v>352486695.73277444</v>
      </c>
      <c r="J5" t="s">
        <v>141</v>
      </c>
    </row>
    <row r="6" spans="1:10" x14ac:dyDescent="0.2">
      <c r="A6" t="s">
        <v>134</v>
      </c>
      <c r="B6">
        <f>(B3*0.001*40)/(1000*1000)</f>
        <v>180.95573684677188</v>
      </c>
      <c r="C6" t="s">
        <v>135</v>
      </c>
      <c r="D6" s="80">
        <v>280</v>
      </c>
      <c r="E6" s="80">
        <v>495.6</v>
      </c>
      <c r="F6" t="s">
        <v>138</v>
      </c>
      <c r="G6" s="64">
        <f>B6*D6</f>
        <v>50667.606317096128</v>
      </c>
      <c r="H6" s="64">
        <f>B6*E6</f>
        <v>89681.663181260155</v>
      </c>
      <c r="I6" s="80">
        <f t="shared" si="0"/>
        <v>70174.634749178134</v>
      </c>
      <c r="J6" t="s">
        <v>140</v>
      </c>
    </row>
    <row r="7" spans="1:10" x14ac:dyDescent="0.2">
      <c r="G7" s="81">
        <f>SUM(G3:G5)</f>
        <v>276046640.21372104</v>
      </c>
      <c r="H7" s="81">
        <f>SUM(H3:H5)</f>
        <v>2851649961.3327742</v>
      </c>
      <c r="I7" s="81">
        <f>SUM(I3:I5)</f>
        <v>1563848300.773248</v>
      </c>
    </row>
    <row r="17" spans="1:3" x14ac:dyDescent="0.2">
      <c r="A17" t="s">
        <v>187</v>
      </c>
      <c r="B17">
        <f>(B19*1000*1000)/(B18*1000)</f>
        <v>4523893421.1692972</v>
      </c>
    </row>
    <row r="18" spans="1:3" ht="54" customHeight="1" x14ac:dyDescent="0.2">
      <c r="A18" s="3" t="s">
        <v>185</v>
      </c>
      <c r="B18" s="29">
        <v>0.6</v>
      </c>
    </row>
    <row r="19" spans="1:3" x14ac:dyDescent="0.2">
      <c r="A19" t="s">
        <v>186</v>
      </c>
      <c r="B19">
        <f>A33</f>
        <v>2714336.0527015785</v>
      </c>
    </row>
    <row r="25" spans="1:3" ht="16" thickBot="1" x14ac:dyDescent="0.25"/>
    <row r="26" spans="1:3" ht="16" x14ac:dyDescent="0.2">
      <c r="A26" s="47">
        <f>(A27/3.14159265358979)^0.5</f>
        <v>126.15662610100806</v>
      </c>
      <c r="B26" s="25" t="s">
        <v>65</v>
      </c>
      <c r="C26" s="3"/>
    </row>
    <row r="27" spans="1:3" ht="18" x14ac:dyDescent="0.2">
      <c r="A27" s="48">
        <v>50000</v>
      </c>
      <c r="B27" s="49" t="s">
        <v>64</v>
      </c>
      <c r="C27" s="65"/>
    </row>
    <row r="28" spans="1:3" ht="32" x14ac:dyDescent="0.2">
      <c r="A28" s="48">
        <f>A26/2</f>
        <v>63.078313050504029</v>
      </c>
      <c r="B28" s="49" t="s">
        <v>66</v>
      </c>
      <c r="C28" s="3"/>
    </row>
    <row r="29" spans="1:3" ht="32" x14ac:dyDescent="0.2">
      <c r="A29" s="48">
        <v>120</v>
      </c>
      <c r="B29" s="49" t="s">
        <v>67</v>
      </c>
      <c r="C29" s="3"/>
    </row>
    <row r="30" spans="1:3" ht="48" x14ac:dyDescent="0.2">
      <c r="A30" s="48">
        <v>60</v>
      </c>
      <c r="B30" s="49" t="s">
        <v>69</v>
      </c>
      <c r="C30" s="65"/>
    </row>
    <row r="31" spans="1:3" ht="18" x14ac:dyDescent="0.2">
      <c r="A31" s="48">
        <f>(1/3)*(3.14159265358979)*(A29^2)*(A30)</f>
        <v>904778.68423385941</v>
      </c>
      <c r="B31" s="49" t="s">
        <v>104</v>
      </c>
      <c r="C31" s="3"/>
    </row>
    <row r="32" spans="1:3" ht="34" x14ac:dyDescent="0.2">
      <c r="A32" s="48">
        <v>3</v>
      </c>
      <c r="B32" s="49" t="s">
        <v>63</v>
      </c>
      <c r="C32" s="66" t="s">
        <v>215</v>
      </c>
    </row>
    <row r="33" spans="1:3" ht="33" thickBot="1" x14ac:dyDescent="0.25">
      <c r="A33" s="112">
        <f>(A31*A32)</f>
        <v>2714336.0527015785</v>
      </c>
      <c r="B33" s="113" t="s">
        <v>68</v>
      </c>
      <c r="C33" s="3"/>
    </row>
  </sheetData>
  <hyperlinks>
    <hyperlink ref="C32" r:id="rId1" xr:uid="{819E49EC-6BB6-413F-A7D9-FD9BC2CC466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117B9-62FF-B644-8235-B82554F0C337}">
  <dimension ref="A1:O36"/>
  <sheetViews>
    <sheetView zoomScale="130" zoomScaleNormal="130" workbookViewId="0">
      <pane xSplit="1" topLeftCell="I1" activePane="topRight" state="frozen"/>
      <selection pane="topRight" activeCell="N15" sqref="N15"/>
    </sheetView>
  </sheetViews>
  <sheetFormatPr baseColWidth="10" defaultRowHeight="15" x14ac:dyDescent="0.2"/>
  <cols>
    <col min="1" max="1" width="31.83203125" bestFit="1" customWidth="1"/>
    <col min="2" max="2" width="11.1640625" bestFit="1" customWidth="1"/>
    <col min="3" max="3" width="12.1640625" bestFit="1" customWidth="1"/>
    <col min="4" max="4" width="15.6640625" bestFit="1" customWidth="1"/>
    <col min="8" max="8" width="18.6640625" customWidth="1"/>
    <col min="9" max="9" width="14" bestFit="1" customWidth="1"/>
    <col min="10" max="10" width="12.1640625" bestFit="1" customWidth="1"/>
    <col min="11" max="11" width="14.83203125" bestFit="1" customWidth="1"/>
    <col min="12" max="12" width="15.6640625" bestFit="1" customWidth="1"/>
    <col min="13" max="13" width="13.6640625" bestFit="1" customWidth="1"/>
    <col min="14" max="14" width="10.6640625" customWidth="1"/>
    <col min="15" max="15" width="21.6640625" customWidth="1"/>
  </cols>
  <sheetData>
    <row r="1" spans="1:15" ht="16" thickBot="1" x14ac:dyDescent="0.25">
      <c r="B1" t="s">
        <v>146</v>
      </c>
      <c r="C1" t="s">
        <v>147</v>
      </c>
      <c r="D1" t="s">
        <v>148</v>
      </c>
      <c r="E1" t="s">
        <v>149</v>
      </c>
      <c r="F1" t="s">
        <v>0</v>
      </c>
      <c r="G1" t="s">
        <v>269</v>
      </c>
      <c r="H1" t="s">
        <v>224</v>
      </c>
      <c r="I1" s="82" t="s">
        <v>119</v>
      </c>
      <c r="J1" s="82" t="s">
        <v>113</v>
      </c>
      <c r="K1" s="92" t="s">
        <v>120</v>
      </c>
      <c r="L1" s="92" t="s">
        <v>195</v>
      </c>
      <c r="M1" s="92" t="s">
        <v>155</v>
      </c>
      <c r="N1" s="82" t="s">
        <v>50</v>
      </c>
      <c r="O1" s="93" t="s">
        <v>31</v>
      </c>
    </row>
    <row r="2" spans="1:15" x14ac:dyDescent="0.2">
      <c r="A2" s="20" t="s">
        <v>151</v>
      </c>
      <c r="B2" s="13">
        <f>Inputs!B3</f>
        <v>4523893421.1692972</v>
      </c>
      <c r="C2" s="13">
        <f>(48+42)/24</f>
        <v>3.75</v>
      </c>
      <c r="D2" s="13">
        <f>B2*C2/$B$19</f>
        <v>56548667.764616214</v>
      </c>
      <c r="E2" s="13">
        <v>70000</v>
      </c>
      <c r="F2" s="13" t="s">
        <v>150</v>
      </c>
      <c r="G2" s="13">
        <f>D2/(E2*3.78541)</f>
        <v>213.40835231139789</v>
      </c>
      <c r="H2" s="13">
        <f>1.2*G2</f>
        <v>256.09002277367745</v>
      </c>
      <c r="I2" s="14">
        <v>84200</v>
      </c>
      <c r="J2" s="13">
        <v>257</v>
      </c>
      <c r="K2" s="14">
        <f>I2*J2</f>
        <v>21639400</v>
      </c>
      <c r="L2" s="14">
        <f>(B21/B20)*K2</f>
        <v>30725619.163339697</v>
      </c>
      <c r="M2" s="14">
        <f>L2/20</f>
        <v>1536280.9581669848</v>
      </c>
      <c r="N2" s="13" t="s">
        <v>276</v>
      </c>
      <c r="O2" s="21" t="s">
        <v>32</v>
      </c>
    </row>
    <row r="3" spans="1:15" x14ac:dyDescent="0.2">
      <c r="A3" s="15" t="s">
        <v>152</v>
      </c>
      <c r="B3" s="6"/>
      <c r="C3" s="6"/>
      <c r="D3" s="6"/>
      <c r="E3" s="6"/>
      <c r="F3" s="6"/>
      <c r="G3" s="6">
        <f>G2</f>
        <v>213.40835231139789</v>
      </c>
      <c r="H3" s="6"/>
      <c r="I3" s="7">
        <v>12200</v>
      </c>
      <c r="J3" s="6">
        <f>J2</f>
        <v>257</v>
      </c>
      <c r="K3" s="7">
        <f>I3*J3</f>
        <v>3135400</v>
      </c>
      <c r="L3" s="7">
        <f>(B21/B20)*K3</f>
        <v>4451930.5676097898</v>
      </c>
      <c r="M3" s="7">
        <f>L3/20</f>
        <v>222596.5283804895</v>
      </c>
      <c r="N3" s="6" t="s">
        <v>272</v>
      </c>
      <c r="O3" s="22" t="s">
        <v>36</v>
      </c>
    </row>
    <row r="4" spans="1:15" x14ac:dyDescent="0.2">
      <c r="A4" s="15" t="s">
        <v>35</v>
      </c>
      <c r="B4" s="6"/>
      <c r="C4" s="6"/>
      <c r="D4" s="6"/>
      <c r="E4" s="6"/>
      <c r="F4" s="6"/>
      <c r="G4" s="6">
        <f>20*G2</f>
        <v>4268.1670462279581</v>
      </c>
      <c r="H4" s="6"/>
      <c r="I4" s="7"/>
      <c r="J4" s="6">
        <f>20*J2</f>
        <v>5140</v>
      </c>
      <c r="K4" s="6"/>
      <c r="L4" s="7">
        <f>129.99*J4</f>
        <v>668148.60000000009</v>
      </c>
      <c r="M4" s="7">
        <f t="shared" ref="M4:M11" si="0">L4/20</f>
        <v>33407.430000000008</v>
      </c>
      <c r="N4" s="6" t="s">
        <v>39</v>
      </c>
      <c r="O4" s="22" t="s">
        <v>38</v>
      </c>
    </row>
    <row r="5" spans="1:15" x14ac:dyDescent="0.2">
      <c r="A5" s="15" t="s">
        <v>153</v>
      </c>
      <c r="B5" s="6"/>
      <c r="C5" s="6"/>
      <c r="D5" s="6"/>
      <c r="E5" s="6"/>
      <c r="F5" s="6"/>
      <c r="G5" s="6">
        <f>G2</f>
        <v>213.40835231139789</v>
      </c>
      <c r="H5" s="6"/>
      <c r="I5" s="7">
        <f>I14</f>
        <v>124700</v>
      </c>
      <c r="J5" s="6">
        <f>J2*B35</f>
        <v>257</v>
      </c>
      <c r="K5" s="7">
        <f>I5*J5</f>
        <v>32047900</v>
      </c>
      <c r="L5" s="7">
        <f>(B21/B20)*K5</f>
        <v>45504568.99843777</v>
      </c>
      <c r="M5" s="7">
        <f t="shared" si="0"/>
        <v>2275228.4499218883</v>
      </c>
      <c r="N5" s="6" t="s">
        <v>278</v>
      </c>
      <c r="O5" s="22" t="s">
        <v>37</v>
      </c>
    </row>
    <row r="6" spans="1:15" ht="16" thickBot="1" x14ac:dyDescent="0.25">
      <c r="A6" s="16" t="s">
        <v>154</v>
      </c>
      <c r="B6" s="17"/>
      <c r="C6" s="17"/>
      <c r="D6" s="17"/>
      <c r="E6" s="17"/>
      <c r="F6" s="17"/>
      <c r="G6" s="17">
        <f>2*G2</f>
        <v>426.81670462279578</v>
      </c>
      <c r="H6" s="17"/>
      <c r="I6" s="19">
        <v>11500</v>
      </c>
      <c r="J6" s="17">
        <f>2*J2</f>
        <v>514</v>
      </c>
      <c r="K6" s="19">
        <f>I6*J6</f>
        <v>5911000</v>
      </c>
      <c r="L6" s="19">
        <f>(B21/B20)*K6</f>
        <v>8392983.8569692764</v>
      </c>
      <c r="M6" s="19">
        <f t="shared" si="0"/>
        <v>419649.19284846383</v>
      </c>
      <c r="N6" s="17" t="s">
        <v>275</v>
      </c>
      <c r="O6" s="23" t="s">
        <v>33</v>
      </c>
    </row>
    <row r="7" spans="1:15" x14ac:dyDescent="0.2">
      <c r="A7" s="20" t="s">
        <v>144</v>
      </c>
      <c r="B7" s="13"/>
      <c r="C7" s="13">
        <f>2/24</f>
        <v>8.3333333333333329E-2</v>
      </c>
      <c r="D7" s="13"/>
      <c r="E7" s="13"/>
      <c r="F7" s="13"/>
      <c r="G7" s="13">
        <v>1</v>
      </c>
      <c r="H7" s="13"/>
      <c r="I7" s="14">
        <f>I2</f>
        <v>84200</v>
      </c>
      <c r="J7" s="13">
        <v>2</v>
      </c>
      <c r="K7" s="14"/>
      <c r="L7" s="14">
        <f>174000*J7</f>
        <v>348000</v>
      </c>
      <c r="M7" s="14">
        <f t="shared" si="0"/>
        <v>17400</v>
      </c>
      <c r="N7" s="13" t="s">
        <v>277</v>
      </c>
      <c r="O7" s="21" t="s">
        <v>32</v>
      </c>
    </row>
    <row r="8" spans="1:15" ht="16" thickBot="1" x14ac:dyDescent="0.25">
      <c r="A8" s="16" t="s">
        <v>154</v>
      </c>
      <c r="B8" s="17"/>
      <c r="C8" s="17"/>
      <c r="D8" s="17"/>
      <c r="E8" s="17"/>
      <c r="F8" s="17"/>
      <c r="G8" s="17">
        <f>(B2)/(350*3.78541*60*24*B19)</f>
        <v>7.9040130485702917</v>
      </c>
      <c r="H8" s="17">
        <f>1.2*G8</f>
        <v>9.484815658284349</v>
      </c>
      <c r="I8" s="19">
        <f>I6</f>
        <v>11500</v>
      </c>
      <c r="J8" s="17">
        <v>10</v>
      </c>
      <c r="K8" s="19">
        <f>28800*J8</f>
        <v>288000</v>
      </c>
      <c r="L8" s="19">
        <f>(B21/B20)*K8</f>
        <v>408929.00538101024</v>
      </c>
      <c r="M8" s="19">
        <f t="shared" si="0"/>
        <v>20446.450269050511</v>
      </c>
      <c r="N8" s="17" t="s">
        <v>275</v>
      </c>
      <c r="O8" s="23" t="s">
        <v>33</v>
      </c>
    </row>
    <row r="9" spans="1:15" ht="17" x14ac:dyDescent="0.2">
      <c r="A9" s="20" t="s">
        <v>145</v>
      </c>
      <c r="B9" s="13">
        <f>B2</f>
        <v>4523893421.1692972</v>
      </c>
      <c r="C9" s="13"/>
      <c r="D9" s="13"/>
      <c r="E9" s="13"/>
      <c r="F9" s="13"/>
      <c r="G9" s="13"/>
      <c r="H9" s="13"/>
      <c r="I9" s="38"/>
      <c r="J9" s="31">
        <v>1</v>
      </c>
      <c r="K9" s="38"/>
      <c r="L9" s="38">
        <f>3*10.7639104*50000</f>
        <v>1614586.56</v>
      </c>
      <c r="M9" s="14">
        <f t="shared" si="0"/>
        <v>80729.328000000009</v>
      </c>
      <c r="N9" s="31" t="s">
        <v>106</v>
      </c>
      <c r="O9" s="67" t="s">
        <v>105</v>
      </c>
    </row>
    <row r="10" spans="1:15" ht="16" thickBot="1" x14ac:dyDescent="0.25">
      <c r="A10" s="16" t="s">
        <v>154</v>
      </c>
      <c r="B10" s="17"/>
      <c r="C10" s="17"/>
      <c r="D10" s="17"/>
      <c r="E10" s="17"/>
      <c r="F10" s="17"/>
      <c r="G10" s="17">
        <f>G6</f>
        <v>426.81670462279578</v>
      </c>
      <c r="H10" s="17">
        <f>H8</f>
        <v>9.484815658284349</v>
      </c>
      <c r="I10" s="19">
        <f>I6</f>
        <v>11500</v>
      </c>
      <c r="J10" s="17">
        <v>10</v>
      </c>
      <c r="K10" s="19">
        <f>28800*J10</f>
        <v>288000</v>
      </c>
      <c r="L10" s="19">
        <f>(B21/B20)*K10</f>
        <v>408929.00538101024</v>
      </c>
      <c r="M10" s="19">
        <f t="shared" si="0"/>
        <v>20446.450269050511</v>
      </c>
      <c r="N10" s="17" t="s">
        <v>275</v>
      </c>
      <c r="O10" s="23" t="s">
        <v>33</v>
      </c>
    </row>
    <row r="11" spans="1:15" x14ac:dyDescent="0.2">
      <c r="A11" s="20" t="s">
        <v>156</v>
      </c>
      <c r="B11" s="13">
        <f>B2</f>
        <v>4523893421.1692972</v>
      </c>
      <c r="C11" s="13">
        <v>10</v>
      </c>
      <c r="D11" s="13">
        <f>B11*C11/$B$19</f>
        <v>150796447.37230989</v>
      </c>
      <c r="E11" s="13">
        <v>70000</v>
      </c>
      <c r="F11" s="13" t="s">
        <v>150</v>
      </c>
      <c r="G11" s="13">
        <f>D11/(E11*3.78541)</f>
        <v>569.08893949706101</v>
      </c>
      <c r="H11" s="13">
        <f>1.2*G11</f>
        <v>682.90672739647323</v>
      </c>
      <c r="I11" s="14">
        <f>I2</f>
        <v>84200</v>
      </c>
      <c r="J11" s="13">
        <v>683</v>
      </c>
      <c r="K11" s="14">
        <f>84200*J11</f>
        <v>57508600</v>
      </c>
      <c r="L11" s="14">
        <f>(B21/B20)*K11</f>
        <v>81656022.912688762</v>
      </c>
      <c r="M11" s="14">
        <f t="shared" si="0"/>
        <v>4082801.1456344379</v>
      </c>
      <c r="N11" s="13" t="s">
        <v>276</v>
      </c>
      <c r="O11" s="21" t="s">
        <v>32</v>
      </c>
    </row>
    <row r="12" spans="1:15" x14ac:dyDescent="0.2">
      <c r="A12" s="15" t="s">
        <v>152</v>
      </c>
      <c r="B12" s="6"/>
      <c r="C12" s="6"/>
      <c r="D12" s="6"/>
      <c r="E12" s="6"/>
      <c r="F12" s="6"/>
      <c r="G12" s="6">
        <f>G11</f>
        <v>569.08893949706101</v>
      </c>
      <c r="H12" s="6"/>
      <c r="I12" s="7">
        <f>I3</f>
        <v>12200</v>
      </c>
      <c r="J12" s="6">
        <f>J11</f>
        <v>683</v>
      </c>
      <c r="K12" s="7">
        <f>I12*J12</f>
        <v>8332600</v>
      </c>
      <c r="L12" s="7">
        <f>(B21/B20)*K12</f>
        <v>11831395.24388127</v>
      </c>
      <c r="M12" s="7">
        <f>L12/20</f>
        <v>591569.76219406351</v>
      </c>
      <c r="N12" s="6" t="s">
        <v>272</v>
      </c>
      <c r="O12" s="22" t="s">
        <v>36</v>
      </c>
    </row>
    <row r="13" spans="1:15" x14ac:dyDescent="0.2">
      <c r="A13" s="15" t="s">
        <v>35</v>
      </c>
      <c r="B13" s="6"/>
      <c r="C13" s="6"/>
      <c r="D13" s="6"/>
      <c r="E13" s="6"/>
      <c r="F13" s="6"/>
      <c r="G13" s="6">
        <f>20*G11</f>
        <v>11381.77878994122</v>
      </c>
      <c r="H13" s="6"/>
      <c r="I13" s="7"/>
      <c r="J13" s="6">
        <f>20*J11</f>
        <v>13660</v>
      </c>
      <c r="K13" s="6"/>
      <c r="L13" s="7">
        <f>129.99*J13</f>
        <v>1775663.4000000001</v>
      </c>
      <c r="M13" s="7">
        <f t="shared" ref="M13:M15" si="1">L13/20</f>
        <v>88783.170000000013</v>
      </c>
      <c r="N13" s="6" t="s">
        <v>39</v>
      </c>
      <c r="O13" s="22" t="s">
        <v>38</v>
      </c>
    </row>
    <row r="14" spans="1:15" x14ac:dyDescent="0.2">
      <c r="A14" s="15" t="s">
        <v>153</v>
      </c>
      <c r="B14" s="6"/>
      <c r="C14" s="6"/>
      <c r="D14" s="6"/>
      <c r="E14" s="6"/>
      <c r="F14" s="6"/>
      <c r="G14" s="6">
        <f>B36*G11</f>
        <v>3414.5336369823663</v>
      </c>
      <c r="H14" s="6"/>
      <c r="I14" s="7">
        <v>124700</v>
      </c>
      <c r="J14" s="6">
        <v>4098</v>
      </c>
      <c r="K14" s="7">
        <f>I14*J14</f>
        <v>511020600</v>
      </c>
      <c r="L14" s="7">
        <f>(B21/B20)*K14</f>
        <v>725594255.85835791</v>
      </c>
      <c r="M14" s="7">
        <f t="shared" si="1"/>
        <v>36279712.792917892</v>
      </c>
      <c r="N14" s="6" t="s">
        <v>278</v>
      </c>
      <c r="O14" s="22" t="s">
        <v>37</v>
      </c>
    </row>
    <row r="15" spans="1:15" ht="16" thickBot="1" x14ac:dyDescent="0.25">
      <c r="A15" s="16" t="s">
        <v>154</v>
      </c>
      <c r="B15" s="17"/>
      <c r="C15" s="17"/>
      <c r="D15" s="17"/>
      <c r="E15" s="17"/>
      <c r="F15" s="17"/>
      <c r="G15" s="17">
        <f>G11</f>
        <v>569.08893949706101</v>
      </c>
      <c r="H15" s="17"/>
      <c r="I15" s="19">
        <v>11500</v>
      </c>
      <c r="J15" s="17">
        <f>J11</f>
        <v>683</v>
      </c>
      <c r="K15" s="19">
        <f>I15*J15</f>
        <v>7854500</v>
      </c>
      <c r="L15" s="19">
        <f>(B21/B20)*K15</f>
        <v>11152544.697101196</v>
      </c>
      <c r="M15" s="19">
        <f t="shared" si="1"/>
        <v>557627.23485505977</v>
      </c>
      <c r="N15" s="17" t="s">
        <v>275</v>
      </c>
      <c r="O15" s="23" t="s">
        <v>33</v>
      </c>
    </row>
    <row r="16" spans="1:15" ht="16" thickBot="1" x14ac:dyDescent="0.25">
      <c r="H16" s="64"/>
      <c r="K16" s="16" t="s">
        <v>115</v>
      </c>
      <c r="L16" s="18">
        <f>SUM(L2:L15)</f>
        <v>924533577.86914778</v>
      </c>
      <c r="M16" s="94">
        <f t="shared" ref="M16" si="2">L16/20</f>
        <v>46226678.89345739</v>
      </c>
    </row>
    <row r="17" spans="1:10" x14ac:dyDescent="0.2">
      <c r="H17" s="64"/>
      <c r="I17" s="64"/>
    </row>
    <row r="18" spans="1:10" x14ac:dyDescent="0.2">
      <c r="A18" t="s">
        <v>169</v>
      </c>
      <c r="H18" s="64"/>
    </row>
    <row r="19" spans="1:10" x14ac:dyDescent="0.2">
      <c r="A19" t="s">
        <v>170</v>
      </c>
      <c r="B19">
        <v>300</v>
      </c>
      <c r="H19" s="64"/>
      <c r="J19" s="64"/>
    </row>
    <row r="20" spans="1:10" x14ac:dyDescent="0.2">
      <c r="A20" t="s">
        <v>193</v>
      </c>
      <c r="B20">
        <v>576.1</v>
      </c>
    </row>
    <row r="21" spans="1:10" x14ac:dyDescent="0.2">
      <c r="A21" t="s">
        <v>194</v>
      </c>
      <c r="B21">
        <v>818</v>
      </c>
    </row>
    <row r="25" spans="1:10" x14ac:dyDescent="0.2">
      <c r="B25" t="s">
        <v>34</v>
      </c>
      <c r="C25" t="s">
        <v>221</v>
      </c>
    </row>
    <row r="26" spans="1:10" x14ac:dyDescent="0.2">
      <c r="A26" t="s">
        <v>211</v>
      </c>
      <c r="B26">
        <f>J2+J11</f>
        <v>940</v>
      </c>
      <c r="C26" s="64">
        <f>(B21/B20)*I2</f>
        <v>119554.93837875368</v>
      </c>
      <c r="D26" s="64">
        <f>B26*C26</f>
        <v>112381642.07602845</v>
      </c>
    </row>
    <row r="27" spans="1:10" x14ac:dyDescent="0.2">
      <c r="A27" t="s">
        <v>212</v>
      </c>
      <c r="B27">
        <f>J3+J12</f>
        <v>940</v>
      </c>
      <c r="C27" s="64">
        <f>(B21/B20)*I3</f>
        <v>17322.687033501126</v>
      </c>
      <c r="D27" s="64">
        <f>B27*C27</f>
        <v>16283325.811491059</v>
      </c>
    </row>
    <row r="28" spans="1:10" x14ac:dyDescent="0.2">
      <c r="A28" t="s">
        <v>213</v>
      </c>
      <c r="B28">
        <f>J4+J13</f>
        <v>18800</v>
      </c>
    </row>
    <row r="29" spans="1:10" x14ac:dyDescent="0.2">
      <c r="A29" t="s">
        <v>265</v>
      </c>
      <c r="B29">
        <f>B35*H2</f>
        <v>256.09002277367745</v>
      </c>
    </row>
    <row r="30" spans="1:10" x14ac:dyDescent="0.2">
      <c r="A30" t="s">
        <v>266</v>
      </c>
      <c r="B30">
        <f>B36*H11</f>
        <v>4097.4403643788391</v>
      </c>
    </row>
    <row r="31" spans="1:10" x14ac:dyDescent="0.2">
      <c r="A31" t="s">
        <v>267</v>
      </c>
      <c r="B31">
        <v>257</v>
      </c>
    </row>
    <row r="32" spans="1:10" x14ac:dyDescent="0.2">
      <c r="A32" t="s">
        <v>268</v>
      </c>
      <c r="B32">
        <v>4098</v>
      </c>
    </row>
    <row r="33" spans="1:4" x14ac:dyDescent="0.2">
      <c r="A33" t="s">
        <v>264</v>
      </c>
      <c r="B33">
        <f>SUM(B31:B32)</f>
        <v>4355</v>
      </c>
      <c r="C33" s="64">
        <f>(B21/B20)*I5</f>
        <v>177060.57976045823</v>
      </c>
      <c r="D33" s="64">
        <f>B33*C33</f>
        <v>771098824.85679555</v>
      </c>
    </row>
    <row r="34" spans="1:4" x14ac:dyDescent="0.2">
      <c r="A34" t="s">
        <v>214</v>
      </c>
      <c r="B34">
        <f>J6+J8+J10+J15</f>
        <v>1217</v>
      </c>
      <c r="C34" s="64">
        <f>(B21/B20)*I6</f>
        <v>16328.762367644506</v>
      </c>
      <c r="D34" s="64">
        <f>B34*C34</f>
        <v>19872103.801423363</v>
      </c>
    </row>
    <row r="35" spans="1:4" x14ac:dyDescent="0.2">
      <c r="A35" t="s">
        <v>262</v>
      </c>
      <c r="B35">
        <v>1</v>
      </c>
    </row>
    <row r="36" spans="1:4" x14ac:dyDescent="0.2">
      <c r="A36" t="s">
        <v>263</v>
      </c>
      <c r="B36">
        <v>6</v>
      </c>
    </row>
  </sheetData>
  <hyperlinks>
    <hyperlink ref="O2" r:id="rId1" xr:uid="{A4B9EB56-A9A9-264D-9AD9-725272D9C9D1}"/>
    <hyperlink ref="O7" r:id="rId2" xr:uid="{BE1F7E5D-3C6F-E945-B7E5-C5CE20BD6D36}"/>
    <hyperlink ref="O11" r:id="rId3" xr:uid="{B7878CC7-2B94-2140-A2AF-57F2C68A3BA2}"/>
    <hyperlink ref="O6" r:id="rId4" xr:uid="{283A0A76-2761-AB48-9B96-2F52E9E6ECD2}"/>
    <hyperlink ref="O8" r:id="rId5" xr:uid="{76FFDFB5-84A1-B144-8337-E6923A17316F}"/>
    <hyperlink ref="O3" r:id="rId6" xr:uid="{FE161380-72A4-784C-A92F-81E2320D7652}"/>
    <hyperlink ref="O5" r:id="rId7" xr:uid="{6FC310B8-AA8C-2D4D-ACD2-F3C4E9D763CA}"/>
    <hyperlink ref="O4" r:id="rId8" xr:uid="{277E56ED-5CA2-EC4B-9BAF-917655E80A64}"/>
    <hyperlink ref="O9" r:id="rId9" display="https://www.alibaba.com/product-detail/Heap-Leach-Geomembrane-Pond-Liner-Waterproof_1601125742047.html" xr:uid="{CEF432AD-A556-444D-B001-AB3A844AA567}"/>
    <hyperlink ref="O10" r:id="rId10" xr:uid="{D76D1749-1FCB-5642-896F-E3654E1B0289}"/>
    <hyperlink ref="O15" r:id="rId11" xr:uid="{EE3BA9B6-50D9-814C-BAF3-C73A86DCACA7}"/>
    <hyperlink ref="O12" r:id="rId12" xr:uid="{4CD59F45-0DEE-AC4D-B855-9324B727A3DC}"/>
    <hyperlink ref="O14" r:id="rId13" xr:uid="{961C267A-CB2C-EB45-9641-CC7FB1B75AC3}"/>
    <hyperlink ref="O13" r:id="rId14" xr:uid="{B61EE16E-C51B-A043-80A0-7E3F7630C32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D1875-BE63-BA4E-8598-4E16D06E5CCF}">
  <dimension ref="A1:L26"/>
  <sheetViews>
    <sheetView zoomScale="150" zoomScaleNormal="150" workbookViewId="0">
      <pane xSplit="1" ySplit="2" topLeftCell="D3" activePane="bottomRight" state="frozenSplit"/>
      <selection pane="topRight" activeCell="E1" sqref="E1"/>
      <selection pane="bottomLeft" activeCell="A13" sqref="A13"/>
      <selection pane="bottomRight" activeCell="A26" sqref="A26"/>
    </sheetView>
  </sheetViews>
  <sheetFormatPr baseColWidth="10" defaultColWidth="8.83203125" defaultRowHeight="15" x14ac:dyDescent="0.2"/>
  <cols>
    <col min="1" max="1" width="26.5" style="29" bestFit="1" customWidth="1"/>
    <col min="2" max="7" width="26.5" style="29" customWidth="1"/>
    <col min="8" max="8" width="80.1640625" style="29" bestFit="1" customWidth="1"/>
    <col min="10" max="10" width="12.1640625" bestFit="1" customWidth="1"/>
    <col min="12" max="12" width="17.33203125" bestFit="1" customWidth="1"/>
  </cols>
  <sheetData>
    <row r="1" spans="1:8" s="28" customFormat="1" ht="16" thickBot="1" x14ac:dyDescent="0.25">
      <c r="A1" s="41"/>
      <c r="B1" s="41"/>
      <c r="C1" s="41"/>
      <c r="D1" s="41"/>
      <c r="E1" s="41"/>
      <c r="F1" s="41"/>
      <c r="G1" s="41"/>
      <c r="H1" s="60" t="s">
        <v>31</v>
      </c>
    </row>
    <row r="2" spans="1:8" x14ac:dyDescent="0.2">
      <c r="A2" s="30" t="s">
        <v>30</v>
      </c>
      <c r="B2" s="83" t="s">
        <v>157</v>
      </c>
      <c r="C2" s="83" t="s">
        <v>270</v>
      </c>
      <c r="D2" s="83" t="s">
        <v>159</v>
      </c>
      <c r="E2" s="83" t="s">
        <v>160</v>
      </c>
      <c r="F2" s="83" t="s">
        <v>158</v>
      </c>
      <c r="G2" s="83" t="s">
        <v>53</v>
      </c>
      <c r="H2" s="61" t="s">
        <v>45</v>
      </c>
    </row>
    <row r="3" spans="1:8" ht="64" x14ac:dyDescent="0.2">
      <c r="A3" s="26" t="s">
        <v>40</v>
      </c>
      <c r="B3" s="76">
        <v>14.14</v>
      </c>
      <c r="C3" s="76">
        <f>('Capital Costs'!G3+'Capital Costs'!G12)</f>
        <v>782.49729180845884</v>
      </c>
      <c r="D3" s="76">
        <f>24*'Capital Costs'!B19</f>
        <v>7200</v>
      </c>
      <c r="E3" s="76">
        <f>B3*C3*D3</f>
        <v>79664484.284435585</v>
      </c>
      <c r="F3" s="89">
        <f>0.0782</f>
        <v>7.8200000000000006E-2</v>
      </c>
      <c r="G3" s="89">
        <f>F3*E3</f>
        <v>6229762.6710428633</v>
      </c>
      <c r="H3" s="33" t="s">
        <v>132</v>
      </c>
    </row>
    <row r="4" spans="1:8" x14ac:dyDescent="0.2">
      <c r="A4" s="26" t="s">
        <v>280</v>
      </c>
      <c r="B4" s="76"/>
      <c r="C4" s="76"/>
      <c r="D4" s="76"/>
      <c r="E4" s="76">
        <f>(Inputs!B3*A25*A20)*(A21-A22)/(A23*A24)</f>
        <v>701035928.67304969</v>
      </c>
      <c r="F4" s="90">
        <f>F3</f>
        <v>7.8200000000000006E-2</v>
      </c>
      <c r="G4" s="89">
        <f>F4*E4</f>
        <v>54821009.622232489</v>
      </c>
      <c r="H4" s="33"/>
    </row>
    <row r="5" spans="1:8" ht="32" x14ac:dyDescent="0.2">
      <c r="A5" s="26" t="s">
        <v>41</v>
      </c>
      <c r="B5" s="76">
        <v>57.5</v>
      </c>
      <c r="C5" s="76">
        <f>'Capital Costs'!G5+'Capital Costs'!G14</f>
        <v>3627.941989293764</v>
      </c>
      <c r="D5" s="76">
        <f>D3</f>
        <v>7200</v>
      </c>
      <c r="E5" s="76">
        <f>B5*C5*D5</f>
        <v>1501967983.5676181</v>
      </c>
      <c r="F5" s="90">
        <f>F3</f>
        <v>7.8200000000000006E-2</v>
      </c>
      <c r="G5" s="89">
        <f>F5*E5</f>
        <v>117453896.31498775</v>
      </c>
      <c r="H5" s="33" t="s">
        <v>248</v>
      </c>
    </row>
    <row r="6" spans="1:8" ht="32" x14ac:dyDescent="0.2">
      <c r="A6" s="26" t="s">
        <v>43</v>
      </c>
      <c r="B6" s="76">
        <v>31.155726999999999</v>
      </c>
      <c r="C6" s="76">
        <f>'Capital Costs'!G8*5</f>
        <v>39.520065242851459</v>
      </c>
      <c r="D6" s="76">
        <f>D3</f>
        <v>7200</v>
      </c>
      <c r="E6" s="76">
        <f>B6*C6*D6</f>
        <v>8865189.818844974</v>
      </c>
      <c r="F6" s="90">
        <f>F5</f>
        <v>7.8200000000000006E-2</v>
      </c>
      <c r="G6" s="89">
        <f>F6*E6</f>
        <v>693257.84383367701</v>
      </c>
      <c r="H6" s="33" t="s">
        <v>107</v>
      </c>
    </row>
    <row r="7" spans="1:8" ht="33" thickBot="1" x14ac:dyDescent="0.25">
      <c r="A7" s="34" t="s">
        <v>161</v>
      </c>
      <c r="B7" s="84"/>
      <c r="C7" s="84"/>
      <c r="D7" s="84"/>
      <c r="E7" s="84">
        <f>SUM(E3:E6)</f>
        <v>2291533586.3439484</v>
      </c>
      <c r="F7" s="84"/>
      <c r="G7" s="91">
        <f>SUM(G3:G6)</f>
        <v>179197926.45209679</v>
      </c>
      <c r="H7" s="33" t="s">
        <v>42</v>
      </c>
    </row>
    <row r="8" spans="1:8" ht="16" thickBot="1" x14ac:dyDescent="0.25">
      <c r="A8" s="45"/>
      <c r="B8" s="88"/>
      <c r="C8" s="88"/>
      <c r="D8" s="88"/>
      <c r="E8" s="88"/>
      <c r="F8" s="88"/>
      <c r="G8" s="88"/>
      <c r="H8" s="33"/>
    </row>
    <row r="9" spans="1:8" ht="16" thickBot="1" x14ac:dyDescent="0.25">
      <c r="A9" s="35" t="s">
        <v>29</v>
      </c>
      <c r="B9" s="36" t="s">
        <v>103</v>
      </c>
      <c r="C9" s="85"/>
      <c r="D9" s="85"/>
      <c r="E9" s="85"/>
      <c r="F9" s="85"/>
      <c r="G9" s="54">
        <f>6.95*Inputs!B3/(1000*3.78541)</f>
        <v>8305853.0719596064</v>
      </c>
      <c r="H9" s="37" t="s">
        <v>108</v>
      </c>
    </row>
    <row r="10" spans="1:8" x14ac:dyDescent="0.2">
      <c r="A10" s="30" t="s">
        <v>51</v>
      </c>
      <c r="B10" s="31" t="s">
        <v>0</v>
      </c>
      <c r="C10" s="31" t="s">
        <v>52</v>
      </c>
      <c r="D10" s="31" t="s">
        <v>76</v>
      </c>
      <c r="E10" s="101" t="s">
        <v>159</v>
      </c>
      <c r="F10" s="38" t="s">
        <v>188</v>
      </c>
      <c r="G10" s="55" t="s">
        <v>53</v>
      </c>
      <c r="H10" s="32"/>
    </row>
    <row r="11" spans="1:8" x14ac:dyDescent="0.2">
      <c r="A11" s="26" t="s">
        <v>162</v>
      </c>
      <c r="B11" s="24">
        <f>2*('Capital Costs'!G2)+'Capital Costs'!G7+'Capital Costs'!G11</f>
        <v>996.90564411985679</v>
      </c>
      <c r="C11" s="24">
        <v>0.5</v>
      </c>
      <c r="D11" s="24">
        <f>B11*C11</f>
        <v>498.45282205992839</v>
      </c>
      <c r="E11" s="76">
        <f>D11*24*'Capital Costs'!B19</f>
        <v>3588860.3188314843</v>
      </c>
      <c r="F11" s="39">
        <v>27.78</v>
      </c>
      <c r="G11" s="56">
        <f>E11*F11</f>
        <v>99698539.657138631</v>
      </c>
      <c r="H11" s="32" t="s">
        <v>168</v>
      </c>
    </row>
    <row r="12" spans="1:8" ht="16" thickBot="1" x14ac:dyDescent="0.25">
      <c r="A12" s="43" t="s">
        <v>57</v>
      </c>
      <c r="B12" s="86"/>
      <c r="C12" s="86"/>
      <c r="D12" s="86"/>
      <c r="E12" s="86"/>
      <c r="F12" s="44"/>
      <c r="G12" s="63">
        <f>0.15*G11</f>
        <v>14954780.948570793</v>
      </c>
      <c r="H12" s="50" t="s">
        <v>58</v>
      </c>
    </row>
    <row r="13" spans="1:8" ht="16" thickBot="1" x14ac:dyDescent="0.25">
      <c r="A13" s="40" t="s">
        <v>54</v>
      </c>
      <c r="B13" s="87"/>
      <c r="C13" s="87"/>
      <c r="D13" s="87"/>
      <c r="E13" s="87"/>
      <c r="F13" s="46"/>
      <c r="G13" s="54">
        <f>0.06*'FCI, Taxes, Insurance'!C21</f>
        <v>169816478.51584932</v>
      </c>
      <c r="H13" s="52" t="s">
        <v>59</v>
      </c>
    </row>
    <row r="14" spans="1:8" ht="16" thickBot="1" x14ac:dyDescent="0.25">
      <c r="A14" s="45" t="s">
        <v>55</v>
      </c>
      <c r="B14" s="88"/>
      <c r="C14" s="88"/>
      <c r="D14" s="88"/>
      <c r="E14" s="88"/>
      <c r="F14" s="53"/>
      <c r="G14" s="57">
        <f>0.15*G13</f>
        <v>25472471.777377397</v>
      </c>
      <c r="H14" s="51" t="s">
        <v>60</v>
      </c>
    </row>
    <row r="15" spans="1:8" ht="16" thickBot="1" x14ac:dyDescent="0.25">
      <c r="A15" s="40" t="s">
        <v>56</v>
      </c>
      <c r="B15" s="87"/>
      <c r="C15" s="87"/>
      <c r="D15" s="87"/>
      <c r="E15" s="87"/>
      <c r="F15" s="46"/>
      <c r="G15" s="54">
        <f>0.15*G11</f>
        <v>14954780.948570793</v>
      </c>
      <c r="H15" s="32" t="s">
        <v>61</v>
      </c>
    </row>
    <row r="16" spans="1:8" ht="81" thickBot="1" x14ac:dyDescent="0.25">
      <c r="A16" s="40" t="s">
        <v>164</v>
      </c>
      <c r="B16" s="87"/>
      <c r="C16" s="87"/>
      <c r="D16" s="87"/>
      <c r="E16" s="87"/>
      <c r="F16" s="46"/>
      <c r="G16" s="54">
        <f>0.6*(G11+G12)</f>
        <v>68791992.363425642</v>
      </c>
      <c r="H16" s="33" t="s">
        <v>165</v>
      </c>
    </row>
    <row r="17" spans="1:12" ht="16" thickBot="1" x14ac:dyDescent="0.25">
      <c r="A17" s="40"/>
      <c r="B17" s="87"/>
      <c r="C17" s="87"/>
      <c r="D17" s="87"/>
      <c r="E17" s="87"/>
      <c r="F17" s="58" t="s">
        <v>44</v>
      </c>
      <c r="G17" s="59">
        <f>G7+G9+SUM(G11:G16)</f>
        <v>581192823.73498905</v>
      </c>
      <c r="H17" s="62"/>
    </row>
    <row r="20" spans="1:12" x14ac:dyDescent="0.2">
      <c r="A20" s="29">
        <v>4.1840000000000002</v>
      </c>
      <c r="B20" s="29" t="s">
        <v>281</v>
      </c>
    </row>
    <row r="21" spans="1:12" x14ac:dyDescent="0.2">
      <c r="A21" s="29">
        <v>100</v>
      </c>
      <c r="B21" s="29" t="s">
        <v>283</v>
      </c>
      <c r="J21" s="64"/>
    </row>
    <row r="22" spans="1:12" x14ac:dyDescent="0.2">
      <c r="A22" s="29">
        <v>20</v>
      </c>
      <c r="B22" s="29" t="s">
        <v>282</v>
      </c>
    </row>
    <row r="23" spans="1:12" x14ac:dyDescent="0.2">
      <c r="A23" s="29">
        <v>3600000</v>
      </c>
      <c r="B23" s="29" t="s">
        <v>284</v>
      </c>
    </row>
    <row r="24" spans="1:12" x14ac:dyDescent="0.2">
      <c r="A24" s="29">
        <v>0.6</v>
      </c>
      <c r="B24" s="29" t="s">
        <v>285</v>
      </c>
    </row>
    <row r="25" spans="1:12" x14ac:dyDescent="0.2">
      <c r="A25" s="29">
        <v>1000</v>
      </c>
      <c r="B25" s="29" t="s">
        <v>286</v>
      </c>
      <c r="I25" s="29"/>
      <c r="L25" s="64"/>
    </row>
    <row r="26" spans="1:12" x14ac:dyDescent="0.2">
      <c r="I26" s="29"/>
    </row>
  </sheetData>
  <hyperlinks>
    <hyperlink ref="H9" r:id="rId1" display="https://www.osti.gov/servlets/purl/1975260" xr:uid="{A3372A34-5E04-7B44-A9BF-CCB3D9B49454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3BA21-A832-D844-8057-AB41A56843CE}">
  <dimension ref="A1:G17"/>
  <sheetViews>
    <sheetView topLeftCell="A15" zoomScale="130" zoomScaleNormal="130" workbookViewId="0">
      <selection activeCell="C5" sqref="C5"/>
    </sheetView>
  </sheetViews>
  <sheetFormatPr baseColWidth="10" defaultColWidth="8.83203125" defaultRowHeight="15" x14ac:dyDescent="0.2"/>
  <cols>
    <col min="1" max="1" width="9.83203125" style="29" bestFit="1" customWidth="1"/>
    <col min="2" max="2" width="35.1640625" style="29" customWidth="1"/>
    <col min="3" max="3" width="18" style="29" bestFit="1" customWidth="1"/>
    <col min="4" max="4" width="51" style="29" bestFit="1" customWidth="1"/>
    <col min="5" max="5" width="11" bestFit="1" customWidth="1"/>
    <col min="6" max="6" width="12" bestFit="1" customWidth="1"/>
    <col min="7" max="7" width="17.33203125" bestFit="1" customWidth="1"/>
  </cols>
  <sheetData>
    <row r="1" spans="1:7" x14ac:dyDescent="0.2">
      <c r="A1" s="116" t="s">
        <v>70</v>
      </c>
      <c r="B1" s="24" t="s">
        <v>1</v>
      </c>
      <c r="C1" s="39">
        <f>Inputs!I5</f>
        <v>352486695.73277444</v>
      </c>
    </row>
    <row r="2" spans="1:7" x14ac:dyDescent="0.2">
      <c r="A2" s="116"/>
      <c r="B2" s="24" t="s">
        <v>2</v>
      </c>
      <c r="C2" s="39">
        <f>Inputs!I3</f>
        <v>4613034.9435631763</v>
      </c>
    </row>
    <row r="3" spans="1:7" x14ac:dyDescent="0.2">
      <c r="A3" s="116"/>
      <c r="B3" s="24" t="s">
        <v>3</v>
      </c>
      <c r="C3" s="39">
        <f>Inputs!I4</f>
        <v>1206748570.0969102</v>
      </c>
    </row>
    <row r="4" spans="1:7" x14ac:dyDescent="0.2">
      <c r="A4" s="116"/>
      <c r="B4" s="24" t="s">
        <v>62</v>
      </c>
      <c r="C4" s="39">
        <f>Inputs!I6</f>
        <v>70174.634749178134</v>
      </c>
    </row>
    <row r="5" spans="1:7" ht="32" x14ac:dyDescent="0.2">
      <c r="A5" s="24" t="s">
        <v>71</v>
      </c>
      <c r="B5" s="5" t="s">
        <v>216</v>
      </c>
      <c r="C5" s="39">
        <f>'Capital Costs'!L16</f>
        <v>924533577.86914778</v>
      </c>
    </row>
    <row r="6" spans="1:7" x14ac:dyDescent="0.2">
      <c r="A6" s="116" t="s">
        <v>72</v>
      </c>
      <c r="B6" s="24" t="s">
        <v>30</v>
      </c>
      <c r="C6" s="39">
        <f>'Operating Costs'!G7</f>
        <v>179197926.45209679</v>
      </c>
    </row>
    <row r="7" spans="1:7" x14ac:dyDescent="0.2">
      <c r="A7" s="116"/>
      <c r="B7" s="24" t="s">
        <v>74</v>
      </c>
      <c r="C7" s="39">
        <f>'Operating Costs'!G9</f>
        <v>8305853.0719596064</v>
      </c>
    </row>
    <row r="8" spans="1:7" x14ac:dyDescent="0.2">
      <c r="A8" s="116"/>
      <c r="B8" s="24" t="s">
        <v>73</v>
      </c>
      <c r="C8" s="39">
        <f>'Operating Costs'!G11+'Operating Costs'!G12</f>
        <v>114653320.60570942</v>
      </c>
    </row>
    <row r="9" spans="1:7" x14ac:dyDescent="0.2">
      <c r="A9" s="116"/>
      <c r="B9" s="24" t="s">
        <v>54</v>
      </c>
      <c r="C9" s="39">
        <f>'Operating Costs'!G13</f>
        <v>169816478.51584932</v>
      </c>
    </row>
    <row r="10" spans="1:7" x14ac:dyDescent="0.2">
      <c r="A10" s="116"/>
      <c r="B10" s="24" t="s">
        <v>75</v>
      </c>
      <c r="C10" s="39">
        <f>'Operating Costs'!G14</f>
        <v>25472471.777377397</v>
      </c>
    </row>
    <row r="11" spans="1:7" x14ac:dyDescent="0.2">
      <c r="A11" s="116"/>
      <c r="B11" s="24" t="s">
        <v>56</v>
      </c>
      <c r="C11" s="39">
        <f>'Operating Costs'!G15</f>
        <v>14954780.948570793</v>
      </c>
    </row>
    <row r="12" spans="1:7" x14ac:dyDescent="0.2">
      <c r="F12" s="6" t="s">
        <v>110</v>
      </c>
      <c r="G12" s="68">
        <f>C1+C3+C4</f>
        <v>1559305440.4644339</v>
      </c>
    </row>
    <row r="13" spans="1:7" x14ac:dyDescent="0.2">
      <c r="F13" s="6" t="s">
        <v>2</v>
      </c>
      <c r="G13" s="68">
        <f>C2</f>
        <v>4613034.9435631763</v>
      </c>
    </row>
    <row r="14" spans="1:7" x14ac:dyDescent="0.2">
      <c r="F14" s="6" t="s">
        <v>30</v>
      </c>
      <c r="G14" s="68">
        <f>C6</f>
        <v>179197926.45209679</v>
      </c>
    </row>
    <row r="15" spans="1:7" x14ac:dyDescent="0.2">
      <c r="F15" s="6" t="s">
        <v>73</v>
      </c>
      <c r="G15" s="68">
        <f>C8</f>
        <v>114653320.60570942</v>
      </c>
    </row>
    <row r="16" spans="1:7" x14ac:dyDescent="0.2">
      <c r="F16" s="6" t="s">
        <v>111</v>
      </c>
      <c r="G16" s="68">
        <f>C5</f>
        <v>924533577.86914778</v>
      </c>
    </row>
    <row r="17" spans="6:7" x14ac:dyDescent="0.2">
      <c r="F17" s="6" t="s">
        <v>112</v>
      </c>
      <c r="G17" s="68">
        <f>C7+C9+C10+C11</f>
        <v>218549584.31375712</v>
      </c>
    </row>
  </sheetData>
  <mergeCells count="2">
    <mergeCell ref="A1:A4"/>
    <mergeCell ref="A6:A1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51D2-CFFD-9A42-A416-42410EE34583}">
  <dimension ref="A2:F21"/>
  <sheetViews>
    <sheetView zoomScale="150" zoomScaleNormal="150" workbookViewId="0">
      <selection activeCell="F5" sqref="F5:F17"/>
    </sheetView>
  </sheetViews>
  <sheetFormatPr baseColWidth="10" defaultColWidth="8.83203125" defaultRowHeight="15" x14ac:dyDescent="0.2"/>
  <cols>
    <col min="1" max="1" width="32.5" bestFit="1" customWidth="1"/>
    <col min="2" max="2" width="18.5" bestFit="1" customWidth="1"/>
    <col min="3" max="3" width="18" bestFit="1" customWidth="1"/>
    <col min="4" max="4" width="19.5" bestFit="1" customWidth="1"/>
  </cols>
  <sheetData>
    <row r="2" spans="1:6" x14ac:dyDescent="0.2">
      <c r="C2" t="s">
        <v>34</v>
      </c>
      <c r="D2" t="s">
        <v>101</v>
      </c>
    </row>
    <row r="3" spans="1:6" x14ac:dyDescent="0.2">
      <c r="A3" t="s">
        <v>189</v>
      </c>
      <c r="B3" s="78">
        <v>7.0000000000000007E-2</v>
      </c>
      <c r="D3" s="64">
        <f>-1*B3*Overall!B11</f>
        <v>-7751464.3343331115</v>
      </c>
      <c r="E3" t="s">
        <v>191</v>
      </c>
    </row>
    <row r="4" spans="1:6" x14ac:dyDescent="0.2">
      <c r="A4" t="s">
        <v>190</v>
      </c>
      <c r="B4" s="78">
        <v>0.21</v>
      </c>
      <c r="D4" s="64">
        <f>-1*B4*Overall!B11</f>
        <v>-23254393.002999332</v>
      </c>
      <c r="E4" t="s">
        <v>191</v>
      </c>
    </row>
    <row r="5" spans="1:6" x14ac:dyDescent="0.2">
      <c r="A5" t="s">
        <v>79</v>
      </c>
      <c r="B5" t="s">
        <v>90</v>
      </c>
      <c r="D5" s="64">
        <f>0.02*C21</f>
        <v>56605492.838616446</v>
      </c>
      <c r="F5">
        <f>D5/$D$17</f>
        <v>0.31010869455109052</v>
      </c>
    </row>
    <row r="6" spans="1:6" x14ac:dyDescent="0.2">
      <c r="A6" t="s">
        <v>80</v>
      </c>
      <c r="B6" t="s">
        <v>91</v>
      </c>
      <c r="C6" s="64">
        <f>0.31*B19</f>
        <v>286605409.13943583</v>
      </c>
      <c r="D6" s="64">
        <f>C6/20</f>
        <v>14330270.456971791</v>
      </c>
      <c r="F6">
        <f t="shared" ref="F6:F17" si="0">D6/$D$17</f>
        <v>7.8507247991733961E-2</v>
      </c>
    </row>
    <row r="7" spans="1:6" x14ac:dyDescent="0.2">
      <c r="A7" t="s">
        <v>81</v>
      </c>
      <c r="B7" t="s">
        <v>92</v>
      </c>
      <c r="C7" s="64">
        <f>0.18*B19</f>
        <v>166416044.01644659</v>
      </c>
      <c r="D7" s="64">
        <f t="shared" ref="D7:D15" si="1">C7/20</f>
        <v>8320802.2008223291</v>
      </c>
      <c r="F7">
        <f t="shared" si="0"/>
        <v>4.5584853672619711E-2</v>
      </c>
    </row>
    <row r="8" spans="1:6" x14ac:dyDescent="0.2">
      <c r="A8" t="s">
        <v>114</v>
      </c>
      <c r="B8" t="s">
        <v>93</v>
      </c>
      <c r="C8" s="64">
        <f>0.1*B19</f>
        <v>92453357.786914781</v>
      </c>
      <c r="D8" s="64">
        <f t="shared" si="1"/>
        <v>4622667.889345739</v>
      </c>
      <c r="F8">
        <f t="shared" si="0"/>
        <v>2.5324918707010955E-2</v>
      </c>
    </row>
    <row r="9" spans="1:6" x14ac:dyDescent="0.2">
      <c r="A9" t="s">
        <v>82</v>
      </c>
      <c r="B9" t="s">
        <v>94</v>
      </c>
      <c r="C9" s="64">
        <f>0.38*B19</f>
        <v>351322759.59027618</v>
      </c>
      <c r="D9" s="64">
        <f t="shared" si="1"/>
        <v>17566137.979513809</v>
      </c>
      <c r="F9">
        <f t="shared" si="0"/>
        <v>9.6234691086641636E-2</v>
      </c>
    </row>
    <row r="10" spans="1:6" x14ac:dyDescent="0.2">
      <c r="A10" t="s">
        <v>83</v>
      </c>
      <c r="B10" t="s">
        <v>95</v>
      </c>
      <c r="C10" s="64">
        <f>0.4*B19</f>
        <v>369813431.14765912</v>
      </c>
      <c r="D10" s="64">
        <f t="shared" si="1"/>
        <v>18490671.557382956</v>
      </c>
      <c r="F10">
        <f t="shared" si="0"/>
        <v>0.10129967482804382</v>
      </c>
    </row>
    <row r="11" spans="1:6" x14ac:dyDescent="0.2">
      <c r="A11" t="s">
        <v>84</v>
      </c>
      <c r="B11" t="s">
        <v>93</v>
      </c>
      <c r="C11" s="64">
        <f>0.1*B19</f>
        <v>92453357.786914781</v>
      </c>
      <c r="D11" s="64">
        <f t="shared" si="1"/>
        <v>4622667.889345739</v>
      </c>
      <c r="F11">
        <f t="shared" si="0"/>
        <v>2.5324918707010955E-2</v>
      </c>
    </row>
    <row r="12" spans="1:6" x14ac:dyDescent="0.2">
      <c r="A12" t="s">
        <v>85</v>
      </c>
      <c r="B12" t="s">
        <v>96</v>
      </c>
      <c r="C12" s="64">
        <f>0.06*B19</f>
        <v>55472014.672148861</v>
      </c>
      <c r="D12" s="64">
        <f t="shared" si="1"/>
        <v>2773600.733607443</v>
      </c>
      <c r="F12">
        <f t="shared" si="0"/>
        <v>1.519495122420657E-2</v>
      </c>
    </row>
    <row r="13" spans="1:6" x14ac:dyDescent="0.2">
      <c r="A13" t="s">
        <v>86</v>
      </c>
      <c r="B13" t="s">
        <v>97</v>
      </c>
      <c r="C13" s="64">
        <f>0.08*B20</f>
        <v>187125596.16071552</v>
      </c>
      <c r="D13" s="64">
        <f t="shared" si="1"/>
        <v>9356279.808035776</v>
      </c>
      <c r="F13">
        <f t="shared" si="0"/>
        <v>5.125763546299017E-2</v>
      </c>
    </row>
    <row r="14" spans="1:6" x14ac:dyDescent="0.2">
      <c r="A14" t="s">
        <v>87</v>
      </c>
      <c r="B14" t="s">
        <v>98</v>
      </c>
      <c r="C14" s="64">
        <f>0.1*B20</f>
        <v>233906995.20089442</v>
      </c>
      <c r="D14" s="64">
        <f t="shared" si="1"/>
        <v>11695349.76004472</v>
      </c>
      <c r="F14">
        <f t="shared" si="0"/>
        <v>6.4072044328737712E-2</v>
      </c>
    </row>
    <row r="15" spans="1:6" x14ac:dyDescent="0.2">
      <c r="A15" t="s">
        <v>88</v>
      </c>
      <c r="B15" t="s">
        <v>99</v>
      </c>
      <c r="C15" s="64">
        <f>0.05*B20</f>
        <v>116953497.60044721</v>
      </c>
      <c r="D15" s="64">
        <f t="shared" si="1"/>
        <v>5847674.88002236</v>
      </c>
      <c r="F15">
        <f t="shared" si="0"/>
        <v>3.2036022164368856E-2</v>
      </c>
    </row>
    <row r="16" spans="1:6" x14ac:dyDescent="0.2">
      <c r="A16" t="s">
        <v>89</v>
      </c>
      <c r="B16" t="s">
        <v>100</v>
      </c>
      <c r="D16" s="64">
        <f>0.01*C21</f>
        <v>28302746.419308223</v>
      </c>
      <c r="F16">
        <f t="shared" si="0"/>
        <v>0.15505434727554526</v>
      </c>
    </row>
    <row r="17" spans="1:6" x14ac:dyDescent="0.2">
      <c r="C17" t="s">
        <v>34</v>
      </c>
      <c r="D17" s="64">
        <f>SUM(D5:D16)</f>
        <v>182534362.4130173</v>
      </c>
      <c r="F17">
        <f t="shared" si="0"/>
        <v>1</v>
      </c>
    </row>
    <row r="19" spans="1:6" x14ac:dyDescent="0.2">
      <c r="A19" t="s">
        <v>115</v>
      </c>
      <c r="B19" s="64">
        <f>'Capital Costs'!L16</f>
        <v>924533577.86914778</v>
      </c>
      <c r="C19" s="64">
        <f>B19/20</f>
        <v>46226678.89345739</v>
      </c>
    </row>
    <row r="20" spans="1:6" x14ac:dyDescent="0.2">
      <c r="A20" t="s">
        <v>116</v>
      </c>
      <c r="B20" s="64">
        <f>B19+SUM(C6:C12)</f>
        <v>2339069952.008944</v>
      </c>
      <c r="C20" s="64">
        <f>B20/20</f>
        <v>116953497.60044721</v>
      </c>
    </row>
    <row r="21" spans="1:6" x14ac:dyDescent="0.2">
      <c r="A21" t="s">
        <v>117</v>
      </c>
      <c r="B21" s="64"/>
      <c r="C21" s="64">
        <f>1.21*B20</f>
        <v>2830274641.9308224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83C99-D39D-9E43-9288-4B53AAEF5AB9}">
  <dimension ref="A1:L28"/>
  <sheetViews>
    <sheetView zoomScale="130" zoomScaleNormal="130" workbookViewId="0">
      <pane xSplit="1" topLeftCell="B1" activePane="topRight" state="frozen"/>
      <selection pane="topRight" activeCell="A22" sqref="A22"/>
    </sheetView>
  </sheetViews>
  <sheetFormatPr baseColWidth="10" defaultColWidth="8.83203125" defaultRowHeight="15" x14ac:dyDescent="0.2"/>
  <cols>
    <col min="1" max="1" width="9.5" bestFit="1" customWidth="1"/>
    <col min="2" max="2" width="14.6640625" customWidth="1"/>
    <col min="3" max="3" width="12" bestFit="1" customWidth="1"/>
    <col min="4" max="4" width="18.6640625" bestFit="1" customWidth="1"/>
    <col min="5" max="5" width="18.6640625" customWidth="1"/>
    <col min="6" max="6" width="10.5" customWidth="1"/>
    <col min="7" max="7" width="17.33203125" bestFit="1" customWidth="1"/>
    <col min="8" max="8" width="19.5" customWidth="1"/>
    <col min="9" max="9" width="8.83203125" customWidth="1"/>
    <col min="10" max="10" width="3.5" customWidth="1"/>
    <col min="11" max="11" width="67.6640625" customWidth="1"/>
    <col min="12" max="12" width="41.6640625" bestFit="1" customWidth="1"/>
  </cols>
  <sheetData>
    <row r="1" spans="1:12" s="3" customFormat="1" ht="48" x14ac:dyDescent="0.2">
      <c r="A1" s="73"/>
      <c r="B1" s="74" t="s">
        <v>48</v>
      </c>
      <c r="C1" s="74" t="s">
        <v>47</v>
      </c>
      <c r="D1" s="74" t="s">
        <v>20</v>
      </c>
      <c r="E1" s="74" t="s">
        <v>4</v>
      </c>
      <c r="F1" s="74" t="s">
        <v>0</v>
      </c>
      <c r="G1" s="74" t="s">
        <v>176</v>
      </c>
      <c r="H1" s="74" t="s">
        <v>177</v>
      </c>
      <c r="I1" s="75" t="s">
        <v>0</v>
      </c>
      <c r="K1" s="1" t="s">
        <v>19</v>
      </c>
    </row>
    <row r="2" spans="1:12" ht="17" x14ac:dyDescent="0.2">
      <c r="A2" s="76" t="s">
        <v>12</v>
      </c>
      <c r="B2" s="24">
        <v>0.20906198189124897</v>
      </c>
      <c r="C2" s="24">
        <f>$G$19*$G$20*B2</f>
        <v>510718.0272269955</v>
      </c>
      <c r="D2" s="24" t="s">
        <v>223</v>
      </c>
      <c r="E2" s="71">
        <v>55.67</v>
      </c>
      <c r="F2" s="24" t="s">
        <v>5</v>
      </c>
      <c r="G2" s="71">
        <f>C2*E2*(60.08/28.0855)</f>
        <v>60820526.191439301</v>
      </c>
      <c r="H2" s="77">
        <f>G2*$G$22</f>
        <v>40342105.180676728</v>
      </c>
      <c r="I2" s="27" t="s">
        <v>6</v>
      </c>
      <c r="J2" s="29"/>
      <c r="K2" s="8" t="s">
        <v>222</v>
      </c>
      <c r="L2" s="29"/>
    </row>
    <row r="3" spans="1:12" ht="16" x14ac:dyDescent="0.2">
      <c r="A3" s="76" t="s">
        <v>18</v>
      </c>
      <c r="B3" s="24">
        <v>2.3286864158508284E-4</v>
      </c>
      <c r="C3" s="24">
        <f t="shared" ref="C3:C7" si="0">$G$19*$G$20*B3</f>
        <v>568.8753744582292</v>
      </c>
      <c r="D3" s="24" t="s">
        <v>22</v>
      </c>
      <c r="E3" s="71">
        <v>6182</v>
      </c>
      <c r="F3" s="24" t="s">
        <v>5</v>
      </c>
      <c r="G3" s="71">
        <f>C3*E3</f>
        <v>3516787.5649007731</v>
      </c>
      <c r="H3" s="77">
        <f t="shared" ref="H3:H7" si="1">G3*$G$22</f>
        <v>2332676.5275715804</v>
      </c>
      <c r="I3" s="27" t="s">
        <v>6</v>
      </c>
      <c r="J3" s="72"/>
      <c r="K3" s="8" t="s">
        <v>126</v>
      </c>
      <c r="L3" s="29"/>
    </row>
    <row r="4" spans="1:12" ht="16" x14ac:dyDescent="0.2">
      <c r="A4" s="76" t="s">
        <v>13</v>
      </c>
      <c r="B4" s="24">
        <v>6.7792196792010847E-3</v>
      </c>
      <c r="C4" s="24">
        <f>$G$19*$G$20*B4</f>
        <v>16560.972345995582</v>
      </c>
      <c r="D4" s="24" t="s">
        <v>25</v>
      </c>
      <c r="E4" s="71">
        <v>2386</v>
      </c>
      <c r="F4" s="24" t="s">
        <v>5</v>
      </c>
      <c r="G4" s="71">
        <f t="shared" ref="G4:G7" si="2">C4*E4</f>
        <v>39514480.017545462</v>
      </c>
      <c r="H4" s="77">
        <f t="shared" si="1"/>
        <v>26209857.244739566</v>
      </c>
      <c r="I4" s="27" t="s">
        <v>6</v>
      </c>
      <c r="J4" s="72"/>
      <c r="K4" s="8" t="s">
        <v>125</v>
      </c>
      <c r="L4" s="29"/>
    </row>
    <row r="5" spans="1:12" ht="16" x14ac:dyDescent="0.2">
      <c r="A5" s="76" t="s">
        <v>10</v>
      </c>
      <c r="B5" s="24">
        <v>6.9266790719048885E-4</v>
      </c>
      <c r="C5" s="24">
        <f t="shared" si="0"/>
        <v>1692.1201257328455</v>
      </c>
      <c r="D5" s="24"/>
      <c r="E5" s="71">
        <v>9343</v>
      </c>
      <c r="F5" s="24" t="s">
        <v>5</v>
      </c>
      <c r="G5" s="71">
        <f t="shared" si="2"/>
        <v>15809478.334721975</v>
      </c>
      <c r="H5" s="77">
        <f t="shared" si="1"/>
        <v>10486388.029979831</v>
      </c>
      <c r="I5" s="27" t="s">
        <v>6</v>
      </c>
      <c r="J5" s="72"/>
      <c r="K5" s="8" t="s">
        <v>130</v>
      </c>
      <c r="L5" s="29"/>
    </row>
    <row r="6" spans="1:12" ht="16" x14ac:dyDescent="0.2">
      <c r="A6" s="76" t="s">
        <v>121</v>
      </c>
      <c r="B6" s="24">
        <v>6.2697570739579586E-2</v>
      </c>
      <c r="C6" s="24">
        <f t="shared" si="0"/>
        <v>153164.0490077236</v>
      </c>
      <c r="D6" s="24"/>
      <c r="E6" s="71">
        <v>92</v>
      </c>
      <c r="F6" s="24" t="s">
        <v>5</v>
      </c>
      <c r="G6" s="71">
        <f t="shared" si="2"/>
        <v>14091092.508710571</v>
      </c>
      <c r="H6" s="77">
        <f t="shared" si="1"/>
        <v>9346586.9451333527</v>
      </c>
      <c r="I6" s="27" t="s">
        <v>6</v>
      </c>
      <c r="J6" s="29"/>
      <c r="K6" s="3" t="s">
        <v>127</v>
      </c>
      <c r="L6" s="29"/>
    </row>
    <row r="7" spans="1:12" ht="16" x14ac:dyDescent="0.2">
      <c r="A7" s="76" t="s">
        <v>9</v>
      </c>
      <c r="B7" s="24">
        <v>1.0309864846208092E-3</v>
      </c>
      <c r="C7" s="24">
        <f t="shared" si="0"/>
        <v>2518.5994065488917</v>
      </c>
      <c r="D7" s="24"/>
      <c r="E7" s="71">
        <v>413.2</v>
      </c>
      <c r="F7" s="24" t="s">
        <v>5</v>
      </c>
      <c r="G7" s="71">
        <f t="shared" si="2"/>
        <v>1040685.274786002</v>
      </c>
      <c r="H7" s="77">
        <f t="shared" si="1"/>
        <v>690283.97885363363</v>
      </c>
      <c r="I7" s="27" t="s">
        <v>6</v>
      </c>
      <c r="J7" s="29"/>
      <c r="K7" s="8" t="s">
        <v>128</v>
      </c>
      <c r="L7" s="29"/>
    </row>
    <row r="8" spans="1:12" x14ac:dyDescent="0.2">
      <c r="A8" s="76" t="s">
        <v>109</v>
      </c>
      <c r="B8" s="24">
        <v>0.26542908697157502</v>
      </c>
      <c r="C8" s="24">
        <f>$G$19*$G$20*B8</f>
        <v>648417.36618234811</v>
      </c>
      <c r="D8" s="24"/>
      <c r="E8" s="71"/>
      <c r="F8" s="24" t="s">
        <v>5</v>
      </c>
      <c r="G8" s="71">
        <v>0</v>
      </c>
      <c r="H8" s="77"/>
      <c r="I8" s="27" t="s">
        <v>6</v>
      </c>
      <c r="J8" s="72" t="s">
        <v>49</v>
      </c>
      <c r="K8" s="3"/>
      <c r="L8" s="29"/>
    </row>
    <row r="9" spans="1:12" ht="16" x14ac:dyDescent="0.2">
      <c r="A9" s="76" t="s">
        <v>14</v>
      </c>
      <c r="B9" s="24">
        <f>G21*C9</f>
        <v>1056678.8677838743</v>
      </c>
      <c r="C9" s="24">
        <f>C8*44.009/24.305</f>
        <v>1174087.6308709714</v>
      </c>
      <c r="D9" s="24" t="s">
        <v>258</v>
      </c>
      <c r="E9" s="71">
        <f>180*12/20</f>
        <v>108</v>
      </c>
      <c r="F9" s="24" t="s">
        <v>5</v>
      </c>
      <c r="G9" s="71">
        <f>B9*E9</f>
        <v>114121317.72065842</v>
      </c>
      <c r="H9" s="77">
        <f>G9</f>
        <v>114121317.72065842</v>
      </c>
      <c r="I9" s="27" t="s">
        <v>6</v>
      </c>
      <c r="J9" s="72" t="s">
        <v>118</v>
      </c>
      <c r="K9" s="70" t="s">
        <v>123</v>
      </c>
      <c r="L9" s="29"/>
    </row>
    <row r="10" spans="1:12" ht="32" x14ac:dyDescent="0.2">
      <c r="A10" s="76" t="s">
        <v>11</v>
      </c>
      <c r="B10" s="24">
        <v>8.9248903447261135E-3</v>
      </c>
      <c r="C10" s="24">
        <f>$G$19*$G$20*B10</f>
        <v>21802.63646618848</v>
      </c>
      <c r="D10" s="24" t="s">
        <v>24</v>
      </c>
      <c r="E10" s="71">
        <f>$B$17*6182.43</f>
        <v>6713.5007370000012</v>
      </c>
      <c r="F10" s="24" t="s">
        <v>5</v>
      </c>
      <c r="G10" s="71">
        <f t="shared" ref="G10:G15" si="3">C10*E10</f>
        <v>146372015.98429945</v>
      </c>
      <c r="H10" s="77">
        <f t="shared" ref="H10:H15" si="4">G10*$G$22</f>
        <v>97088197.589080483</v>
      </c>
      <c r="I10" s="27" t="s">
        <v>6</v>
      </c>
      <c r="J10" s="29"/>
      <c r="K10" s="8" t="s">
        <v>23</v>
      </c>
      <c r="L10" s="29"/>
    </row>
    <row r="11" spans="1:12" ht="32" x14ac:dyDescent="0.2">
      <c r="A11" s="76" t="s">
        <v>15</v>
      </c>
      <c r="B11" s="24">
        <v>6.6576940303262905E-4</v>
      </c>
      <c r="C11" s="24">
        <f t="shared" ref="C11:C15" si="5">$G$19*$G$20*B11</f>
        <v>1626.4097040933657</v>
      </c>
      <c r="D11" s="24" t="s">
        <v>77</v>
      </c>
      <c r="E11" s="71">
        <v>2250</v>
      </c>
      <c r="F11" s="24" t="s">
        <v>5</v>
      </c>
      <c r="G11" s="71">
        <f t="shared" si="3"/>
        <v>3659421.8342100726</v>
      </c>
      <c r="H11" s="77">
        <f t="shared" si="4"/>
        <v>2427285.486999732</v>
      </c>
      <c r="I11" s="27" t="s">
        <v>6</v>
      </c>
      <c r="J11" s="29"/>
      <c r="K11" s="8" t="s">
        <v>78</v>
      </c>
      <c r="L11" s="29"/>
    </row>
    <row r="12" spans="1:12" ht="64" x14ac:dyDescent="0.2">
      <c r="A12" s="76" t="s">
        <v>16</v>
      </c>
      <c r="B12" s="24">
        <v>5.270102113425799E-4</v>
      </c>
      <c r="C12" s="24">
        <f t="shared" si="5"/>
        <v>1287.4345351101388</v>
      </c>
      <c r="D12" s="24" t="s">
        <v>124</v>
      </c>
      <c r="E12" s="71">
        <f>850*1000</f>
        <v>850000</v>
      </c>
      <c r="F12" s="24" t="s">
        <v>5</v>
      </c>
      <c r="G12" s="71">
        <f t="shared" si="3"/>
        <v>1094319354.8436179</v>
      </c>
      <c r="H12" s="77">
        <f t="shared" si="4"/>
        <v>725859332.01882422</v>
      </c>
      <c r="I12" s="27" t="s">
        <v>6</v>
      </c>
      <c r="J12" s="29"/>
      <c r="K12" s="8" t="s">
        <v>21</v>
      </c>
      <c r="L12" s="29"/>
    </row>
    <row r="13" spans="1:12" ht="16" x14ac:dyDescent="0.2">
      <c r="A13" s="76" t="s">
        <v>17</v>
      </c>
      <c r="B13" s="24">
        <v>1.2174389208689015E-4</v>
      </c>
      <c r="C13" s="24">
        <f t="shared" si="5"/>
        <v>297.40845193889072</v>
      </c>
      <c r="D13" s="24" t="s">
        <v>46</v>
      </c>
      <c r="E13" s="71">
        <v>300</v>
      </c>
      <c r="F13" s="24" t="s">
        <v>5</v>
      </c>
      <c r="G13" s="71">
        <f t="shared" si="3"/>
        <v>89222.535581667209</v>
      </c>
      <c r="H13" s="77">
        <f t="shared" si="4"/>
        <v>59181.088035850007</v>
      </c>
      <c r="I13" s="27" t="s">
        <v>6</v>
      </c>
      <c r="J13" s="29"/>
      <c r="K13" s="8" t="s">
        <v>122</v>
      </c>
      <c r="L13" s="29"/>
    </row>
    <row r="14" spans="1:12" ht="16" x14ac:dyDescent="0.2">
      <c r="A14" s="76" t="s">
        <v>7</v>
      </c>
      <c r="B14" s="24">
        <v>2.183556732538075E-3</v>
      </c>
      <c r="C14" s="24">
        <f t="shared" si="5"/>
        <v>5334.2160860226204</v>
      </c>
      <c r="D14" s="24"/>
      <c r="E14" s="71">
        <v>15830</v>
      </c>
      <c r="F14" s="24" t="s">
        <v>5</v>
      </c>
      <c r="G14" s="71">
        <f t="shared" si="3"/>
        <v>84440640.641738087</v>
      </c>
      <c r="H14" s="77">
        <f t="shared" si="4"/>
        <v>56009268.903237514</v>
      </c>
      <c r="I14" s="27" t="s">
        <v>6</v>
      </c>
      <c r="J14" s="29"/>
      <c r="K14" s="8" t="s">
        <v>125</v>
      </c>
      <c r="L14" s="29"/>
    </row>
    <row r="15" spans="1:12" ht="17" thickBot="1" x14ac:dyDescent="0.25">
      <c r="A15" s="76" t="s">
        <v>8</v>
      </c>
      <c r="B15" s="24">
        <v>1.121050233476479E-4</v>
      </c>
      <c r="C15" s="24">
        <f t="shared" si="5"/>
        <v>273.86163590532561</v>
      </c>
      <c r="D15" s="24"/>
      <c r="E15" s="71">
        <v>24300</v>
      </c>
      <c r="F15" s="24" t="s">
        <v>5</v>
      </c>
      <c r="G15" s="71">
        <f t="shared" si="3"/>
        <v>6654837.7524994127</v>
      </c>
      <c r="H15" s="77">
        <f t="shared" si="4"/>
        <v>4414137.4858650556</v>
      </c>
      <c r="I15" s="27" t="s">
        <v>6</v>
      </c>
      <c r="J15" s="29"/>
      <c r="K15" s="8" t="s">
        <v>129</v>
      </c>
      <c r="L15" s="29"/>
    </row>
    <row r="16" spans="1:12" ht="17" thickBot="1" x14ac:dyDescent="0.25">
      <c r="C16" s="100">
        <f>SUM(C2:C7)+SUM(C10:C15)</f>
        <v>715844.61036671349</v>
      </c>
      <c r="E16" s="9"/>
      <c r="G16" s="99">
        <f>SUM(G2:G15)</f>
        <v>1584449861.2047091</v>
      </c>
      <c r="H16" s="59">
        <f>SUM(H2:H15)</f>
        <v>1089386618.199656</v>
      </c>
      <c r="K16" s="69" t="s">
        <v>26</v>
      </c>
    </row>
    <row r="17" spans="1:11" ht="16" thickBot="1" x14ac:dyDescent="0.25">
      <c r="A17" s="11" t="s">
        <v>27</v>
      </c>
      <c r="B17" s="12">
        <v>1.0859000000000001</v>
      </c>
      <c r="C17" s="42" t="s">
        <v>28</v>
      </c>
      <c r="E17" s="9"/>
      <c r="F17" s="64"/>
      <c r="K17" s="4"/>
    </row>
    <row r="18" spans="1:11" x14ac:dyDescent="0.2">
      <c r="H18" s="64"/>
    </row>
    <row r="19" spans="1:11" x14ac:dyDescent="0.2">
      <c r="C19">
        <f>C2*(60.08/28.0855)</f>
        <v>1092518.8825478586</v>
      </c>
      <c r="F19" t="s">
        <v>163</v>
      </c>
      <c r="G19">
        <v>2714336.0527015785</v>
      </c>
    </row>
    <row r="20" spans="1:11" x14ac:dyDescent="0.2">
      <c r="F20" t="s">
        <v>131</v>
      </c>
      <c r="G20">
        <v>0.9</v>
      </c>
    </row>
    <row r="21" spans="1:11" x14ac:dyDescent="0.2">
      <c r="F21" t="s">
        <v>279</v>
      </c>
      <c r="G21">
        <v>0.9</v>
      </c>
      <c r="K21" s="10"/>
    </row>
    <row r="22" spans="1:11" x14ac:dyDescent="0.2">
      <c r="F22" t="s">
        <v>253</v>
      </c>
      <c r="G22">
        <f>G26</f>
        <v>0.66329753632343647</v>
      </c>
    </row>
    <row r="23" spans="1:11" ht="32" x14ac:dyDescent="0.2">
      <c r="F23" t="s">
        <v>254</v>
      </c>
      <c r="G23">
        <f>(50000/20+8000)</f>
        <v>10500</v>
      </c>
      <c r="H23" s="115" t="s">
        <v>256</v>
      </c>
    </row>
    <row r="24" spans="1:11" x14ac:dyDescent="0.2">
      <c r="F24" t="s">
        <v>255</v>
      </c>
      <c r="G24" s="64">
        <f>E14</f>
        <v>15830</v>
      </c>
    </row>
    <row r="26" spans="1:11" x14ac:dyDescent="0.2">
      <c r="F26" t="s">
        <v>257</v>
      </c>
      <c r="G26">
        <f>G23/G24</f>
        <v>0.66329753632343647</v>
      </c>
    </row>
    <row r="27" spans="1:11" x14ac:dyDescent="0.2">
      <c r="H27" s="114"/>
    </row>
    <row r="28" spans="1:11" x14ac:dyDescent="0.2">
      <c r="H28" s="114"/>
    </row>
  </sheetData>
  <hyperlinks>
    <hyperlink ref="K16" r:id="rId1" display="https://www.indexbox.io/blog/magnesite-price-per-ton-in-august-2022/" xr:uid="{B0993155-BA89-4041-836C-B4DE5A69CC6D}"/>
    <hyperlink ref="K10" r:id="rId2" display="https://www.chemicool.com/elements/calcium.html" xr:uid="{4B5CB0E2-FBE6-F243-A6CF-711AB6B2ED36}"/>
    <hyperlink ref="K12" r:id="rId3" location=":~:text=They%20are%20primarily%20driven%20by%20supply%2C%20demand%20and,of%20pure%20Potassium%20were%20at%20around%20850%20%24%2Fkg." xr:uid="{43755A24-633C-D54A-AD26-19E3D42C10E3}"/>
    <hyperlink ref="K11" r:id="rId4" xr:uid="{6E4B83B2-FB98-DA4C-BEE4-9CEC7EEED221}"/>
    <hyperlink ref="K13" r:id="rId5" xr:uid="{3E5D2954-090A-DB44-AB6B-F0F4F1A2C0F7}"/>
    <hyperlink ref="K9" r:id="rId6" xr:uid="{F46755D6-8FA6-644B-AC8B-CC9B31BECEBE}"/>
    <hyperlink ref="K2" r:id="rId7" xr:uid="{7271C7B8-42F7-EF47-AF9F-461AE7E7B210}"/>
    <hyperlink ref="H23" r:id="rId8" xr:uid="{966EA334-EDBD-6347-8140-B49D850E4B14}"/>
    <hyperlink ref="K14" r:id="rId9" xr:uid="{85626785-66E7-ED49-8477-925F54F32D9B}"/>
  </hyperlinks>
  <pageMargins left="0.7" right="0.7" top="0.75" bottom="0.75" header="0.3" footer="0.3"/>
  <pageSetup orientation="portrait" r:id="rId1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FAD9D-AEFB-A44F-990D-4DFFDBFD44AD}">
  <dimension ref="A1:E18"/>
  <sheetViews>
    <sheetView tabSelected="1" zoomScale="140" zoomScaleNormal="140" workbookViewId="0">
      <selection activeCell="B17" sqref="B17"/>
    </sheetView>
  </sheetViews>
  <sheetFormatPr baseColWidth="10" defaultRowHeight="15" x14ac:dyDescent="0.2"/>
  <cols>
    <col min="1" max="1" width="41" style="95" bestFit="1" customWidth="1"/>
    <col min="2" max="2" width="17.83203125" bestFit="1" customWidth="1"/>
    <col min="3" max="3" width="13.6640625" bestFit="1" customWidth="1"/>
    <col min="4" max="4" width="18.33203125" bestFit="1" customWidth="1"/>
    <col min="5" max="5" width="13.5" bestFit="1" customWidth="1"/>
  </cols>
  <sheetData>
    <row r="1" spans="1:5" s="79" customFormat="1" x14ac:dyDescent="0.2">
      <c r="B1" s="97" t="s">
        <v>183</v>
      </c>
      <c r="C1" s="97" t="s">
        <v>184</v>
      </c>
      <c r="D1" s="97" t="s">
        <v>181</v>
      </c>
      <c r="E1" s="97" t="s">
        <v>182</v>
      </c>
    </row>
    <row r="2" spans="1:5" x14ac:dyDescent="0.2">
      <c r="A2" s="96" t="s">
        <v>70</v>
      </c>
      <c r="B2" s="68">
        <f>Inputs!G7</f>
        <v>276046640.21372104</v>
      </c>
      <c r="C2" s="68">
        <f>B2/Outputs!$B$9</f>
        <v>261.23986068980582</v>
      </c>
      <c r="D2" s="68">
        <f>Inputs!H7</f>
        <v>2851649961.3327742</v>
      </c>
      <c r="E2" s="68">
        <f>D2/Outputs!$B$9</f>
        <v>2698.691199638934</v>
      </c>
    </row>
    <row r="3" spans="1:5" x14ac:dyDescent="0.2">
      <c r="A3" s="96" t="s">
        <v>72</v>
      </c>
      <c r="B3" s="68">
        <f>D3</f>
        <v>581192823.73498905</v>
      </c>
      <c r="C3" s="68">
        <f>B3/Outputs!$B$9</f>
        <v>550.01840337159285</v>
      </c>
      <c r="D3" s="68">
        <f>'Operating Costs'!G17</f>
        <v>581192823.73498905</v>
      </c>
      <c r="E3" s="68">
        <f>D3/Outputs!$B$9</f>
        <v>550.01840337159285</v>
      </c>
    </row>
    <row r="4" spans="1:5" x14ac:dyDescent="0.2">
      <c r="A4" s="96" t="s">
        <v>167</v>
      </c>
      <c r="B4" s="68">
        <f>D4</f>
        <v>46226678.89345739</v>
      </c>
      <c r="C4" s="68">
        <f>B4/Outputs!$B$9</f>
        <v>43.747140501074419</v>
      </c>
      <c r="D4" s="68">
        <f>'Capital Costs'!M16</f>
        <v>46226678.89345739</v>
      </c>
      <c r="E4" s="68">
        <f>D4/Outputs!$B$9</f>
        <v>43.747140501074419</v>
      </c>
    </row>
    <row r="5" spans="1:5" x14ac:dyDescent="0.2">
      <c r="A5" s="96" t="s">
        <v>102</v>
      </c>
      <c r="B5" s="68">
        <f>D5</f>
        <v>182534362.4130173</v>
      </c>
      <c r="C5" s="68">
        <f>B5/Outputs!$B$9</f>
        <v>172.74345875378253</v>
      </c>
      <c r="D5" s="68">
        <f>'FCI, Taxes, Insurance'!D17</f>
        <v>182534362.4130173</v>
      </c>
      <c r="E5" s="68">
        <f>D5/Outputs!$B$9</f>
        <v>172.74345875378253</v>
      </c>
    </row>
    <row r="6" spans="1:5" x14ac:dyDescent="0.2">
      <c r="A6" s="96" t="s">
        <v>178</v>
      </c>
      <c r="B6" s="68">
        <f>SUM(B2:B5)</f>
        <v>1086000505.2551849</v>
      </c>
      <c r="C6" s="98">
        <f>B6/Outputs!$B$9</f>
        <v>1027.7488633162557</v>
      </c>
      <c r="D6" s="68">
        <f>SUM(D2:D5)</f>
        <v>3661603826.374238</v>
      </c>
      <c r="E6" s="98">
        <f>D6/Outputs!$B$9</f>
        <v>3465.2002022653837</v>
      </c>
    </row>
    <row r="7" spans="1:5" x14ac:dyDescent="0.2">
      <c r="A7" s="96" t="s">
        <v>166</v>
      </c>
      <c r="B7" s="68">
        <f>D7</f>
        <v>-114121317.72065842</v>
      </c>
      <c r="C7" s="68">
        <f>B7/Outputs!$B$9</f>
        <v>-108</v>
      </c>
      <c r="D7" s="68">
        <f>-1*Outputs!H9</f>
        <v>-114121317.72065842</v>
      </c>
      <c r="E7" s="68">
        <f>D7/Outputs!$B$9</f>
        <v>-108</v>
      </c>
    </row>
    <row r="8" spans="1:5" x14ac:dyDescent="0.2">
      <c r="A8" s="96" t="s">
        <v>179</v>
      </c>
      <c r="B8" s="68">
        <f>B6+B7</f>
        <v>971879187.53452647</v>
      </c>
      <c r="C8" s="98">
        <f>B8/Outputs!$B$9</f>
        <v>919.74886331625578</v>
      </c>
      <c r="D8" s="68">
        <f>D6+D7</f>
        <v>3547482508.6535797</v>
      </c>
      <c r="E8" s="98">
        <f>D8/Outputs!$B$9</f>
        <v>3357.2002022653842</v>
      </c>
    </row>
    <row r="9" spans="1:5" x14ac:dyDescent="0.2">
      <c r="A9" s="96" t="s">
        <v>171</v>
      </c>
      <c r="B9" s="68">
        <f>D9</f>
        <v>-975265300.47899759</v>
      </c>
      <c r="C9" s="68">
        <f>B9/Outputs!$B$9</f>
        <v>-922.95334960599553</v>
      </c>
      <c r="D9" s="68">
        <f>-1*(Outputs!H16-Outputs!H9)</f>
        <v>-975265300.47899759</v>
      </c>
      <c r="E9" s="68">
        <f>D9/Outputs!$B$9</f>
        <v>-922.95334960599553</v>
      </c>
    </row>
    <row r="10" spans="1:5" x14ac:dyDescent="0.2">
      <c r="A10" s="96" t="s">
        <v>180</v>
      </c>
      <c r="B10" s="68">
        <f>B8+B9</f>
        <v>-3386112.9444711208</v>
      </c>
      <c r="C10" s="68">
        <f>B10/Outputs!$B$9</f>
        <v>-3.2044862897397253</v>
      </c>
      <c r="D10" s="68">
        <f>SUM(D2:D5)+D7+D9</f>
        <v>2572217208.174582</v>
      </c>
      <c r="E10" s="98">
        <f>D10/Outputs!$B$9</f>
        <v>2434.2468526593884</v>
      </c>
    </row>
    <row r="11" spans="1:5" x14ac:dyDescent="0.2">
      <c r="A11" s="96" t="s">
        <v>259</v>
      </c>
      <c r="B11" s="68">
        <f>SUM(B6)+B9</f>
        <v>110735204.7761873</v>
      </c>
      <c r="C11" s="68">
        <f>B11/Outputs!$B$9</f>
        <v>104.79551371026028</v>
      </c>
      <c r="D11" s="68">
        <f>SUM(D2:D5)+D9</f>
        <v>2686338525.8952403</v>
      </c>
      <c r="E11" s="68">
        <f>D11/Outputs!$B$9</f>
        <v>2542.2468526593884</v>
      </c>
    </row>
    <row r="12" spans="1:5" x14ac:dyDescent="0.2">
      <c r="A12" s="96" t="s">
        <v>192</v>
      </c>
      <c r="B12" s="68"/>
      <c r="C12" s="68">
        <f>B12/Outputs!$B$9</f>
        <v>0</v>
      </c>
      <c r="D12" s="68"/>
      <c r="E12" s="68">
        <f>D12/Outputs!$B$9</f>
        <v>0</v>
      </c>
    </row>
    <row r="13" spans="1:5" x14ac:dyDescent="0.2">
      <c r="A13" s="96" t="s">
        <v>261</v>
      </c>
      <c r="B13" s="68">
        <f>B11+B12+B7</f>
        <v>-3386112.9444711208</v>
      </c>
      <c r="C13" s="98">
        <f>B13/Outputs!$B$9</f>
        <v>-3.2044862897397253</v>
      </c>
      <c r="D13" s="68">
        <f>D11-D12+D7</f>
        <v>2572217208.174582</v>
      </c>
      <c r="E13" s="68">
        <f>D13/Outputs!$B$9</f>
        <v>2434.2468526593884</v>
      </c>
    </row>
    <row r="14" spans="1:5" x14ac:dyDescent="0.2">
      <c r="A14" s="96" t="s">
        <v>260</v>
      </c>
      <c r="B14" s="68">
        <f>B11-B12</f>
        <v>110735204.7761873</v>
      </c>
      <c r="C14" s="68">
        <f>B14/Outputs!$B$9</f>
        <v>104.79551371026028</v>
      </c>
      <c r="D14" s="68">
        <f>D11-D12</f>
        <v>2686338525.8952403</v>
      </c>
      <c r="E14" s="68">
        <f>D14/Outputs!$B$9</f>
        <v>2542.2468526593884</v>
      </c>
    </row>
    <row r="17" spans="3:3" x14ac:dyDescent="0.2">
      <c r="C17" s="64"/>
    </row>
    <row r="18" spans="3:3" x14ac:dyDescent="0.2">
      <c r="C18" s="6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6CB2A-C30C-BA40-875E-245B8DD79F13}">
  <dimension ref="A2:C25"/>
  <sheetViews>
    <sheetView zoomScale="140" zoomScaleNormal="140" workbookViewId="0">
      <selection activeCell="D10" sqref="D10"/>
    </sheetView>
  </sheetViews>
  <sheetFormatPr baseColWidth="10" defaultRowHeight="15" x14ac:dyDescent="0.2"/>
  <cols>
    <col min="1" max="1" width="11.83203125" bestFit="1" customWidth="1"/>
  </cols>
  <sheetData>
    <row r="2" spans="1:3" x14ac:dyDescent="0.2">
      <c r="C2" t="s">
        <v>31</v>
      </c>
    </row>
    <row r="3" spans="1:3" x14ac:dyDescent="0.2">
      <c r="A3">
        <v>430</v>
      </c>
      <c r="B3" t="s">
        <v>228</v>
      </c>
      <c r="C3" s="114" t="s">
        <v>225</v>
      </c>
    </row>
    <row r="4" spans="1:3" x14ac:dyDescent="0.2">
      <c r="A4">
        <v>28.97</v>
      </c>
      <c r="B4" t="s">
        <v>227</v>
      </c>
      <c r="C4" s="114" t="s">
        <v>226</v>
      </c>
    </row>
    <row r="5" spans="1:3" ht="17" x14ac:dyDescent="0.25">
      <c r="A5">
        <v>44.009</v>
      </c>
      <c r="B5" t="s">
        <v>251</v>
      </c>
    </row>
    <row r="6" spans="1:3" ht="17" x14ac:dyDescent="0.2">
      <c r="A6">
        <v>1.2250000000000001</v>
      </c>
      <c r="B6" t="s">
        <v>250</v>
      </c>
      <c r="C6" t="s">
        <v>229</v>
      </c>
    </row>
    <row r="7" spans="1:3" x14ac:dyDescent="0.2">
      <c r="A7">
        <f>(A3/1000000)*A5/A4</f>
        <v>6.5322298929927506E-4</v>
      </c>
      <c r="B7" t="s">
        <v>230</v>
      </c>
    </row>
    <row r="8" spans="1:3" x14ac:dyDescent="0.2">
      <c r="A8">
        <f>A7*(A6/1000)</f>
        <v>8.0019816189161206E-7</v>
      </c>
      <c r="B8" t="s">
        <v>231</v>
      </c>
    </row>
    <row r="9" spans="1:3" x14ac:dyDescent="0.2">
      <c r="A9">
        <v>70000</v>
      </c>
      <c r="B9" t="s">
        <v>232</v>
      </c>
    </row>
    <row r="10" spans="1:3" x14ac:dyDescent="0.2">
      <c r="A10">
        <v>4</v>
      </c>
      <c r="B10" t="s">
        <v>245</v>
      </c>
    </row>
    <row r="11" spans="1:3" x14ac:dyDescent="0.2">
      <c r="A11">
        <f>A10*A9</f>
        <v>280000</v>
      </c>
      <c r="B11" t="s">
        <v>246</v>
      </c>
    </row>
    <row r="12" spans="1:3" x14ac:dyDescent="0.2">
      <c r="A12">
        <v>28.316800000000001</v>
      </c>
      <c r="B12" t="s">
        <v>247</v>
      </c>
    </row>
    <row r="13" spans="1:3" x14ac:dyDescent="0.2">
      <c r="A13">
        <f>A12*A11</f>
        <v>7928704</v>
      </c>
      <c r="B13" t="s">
        <v>233</v>
      </c>
    </row>
    <row r="14" spans="1:3" x14ac:dyDescent="0.2">
      <c r="A14">
        <f>A13*60*24*10</f>
        <v>114173337600</v>
      </c>
      <c r="B14" t="s">
        <v>234</v>
      </c>
    </row>
    <row r="15" spans="1:3" x14ac:dyDescent="0.2">
      <c r="A15">
        <f>A8*A14</f>
        <v>91361.294884550472</v>
      </c>
      <c r="B15" t="s">
        <v>235</v>
      </c>
    </row>
    <row r="16" spans="1:3" x14ac:dyDescent="0.2">
      <c r="A16">
        <v>70000</v>
      </c>
      <c r="B16" t="s">
        <v>236</v>
      </c>
    </row>
    <row r="17" spans="1:2" x14ac:dyDescent="0.2">
      <c r="A17">
        <f>A16*3.785</f>
        <v>264950</v>
      </c>
      <c r="B17" t="s">
        <v>237</v>
      </c>
    </row>
    <row r="18" spans="1:2" x14ac:dyDescent="0.2">
      <c r="A18">
        <f>600/1000</f>
        <v>0.6</v>
      </c>
      <c r="B18" t="s">
        <v>238</v>
      </c>
    </row>
    <row r="19" spans="1:2" x14ac:dyDescent="0.2">
      <c r="A19">
        <v>0.26542908697157502</v>
      </c>
      <c r="B19" t="s">
        <v>239</v>
      </c>
    </row>
    <row r="20" spans="1:2" x14ac:dyDescent="0.2">
      <c r="A20">
        <f>A19*A18</f>
        <v>0.15925745218294501</v>
      </c>
      <c r="B20" t="s">
        <v>240</v>
      </c>
    </row>
    <row r="21" spans="1:2" x14ac:dyDescent="0.2">
      <c r="A21">
        <f>A20*Outputs!G20</f>
        <v>0.14333170696465053</v>
      </c>
      <c r="B21" t="s">
        <v>241</v>
      </c>
    </row>
    <row r="22" spans="1:2" x14ac:dyDescent="0.2">
      <c r="A22">
        <f>A21*A17</f>
        <v>37975.735760284158</v>
      </c>
      <c r="B22" t="s">
        <v>242</v>
      </c>
    </row>
    <row r="23" spans="1:2" x14ac:dyDescent="0.2">
      <c r="A23">
        <f>A5/24.305</f>
        <v>1.8106973873688541</v>
      </c>
      <c r="B23" t="s">
        <v>243</v>
      </c>
    </row>
    <row r="24" spans="1:2" x14ac:dyDescent="0.2">
      <c r="A24">
        <f>A22*A23</f>
        <v>68762.565524556485</v>
      </c>
      <c r="B24" t="s">
        <v>244</v>
      </c>
    </row>
    <row r="25" spans="1:2" x14ac:dyDescent="0.2">
      <c r="A25">
        <f>A15/A24</f>
        <v>1.3286487231475319</v>
      </c>
      <c r="B25" t="s">
        <v>249</v>
      </c>
    </row>
  </sheetData>
  <hyperlinks>
    <hyperlink ref="C3" r:id="rId1" xr:uid="{62A5EC10-EDD1-0E46-88A4-7DB1AF0D7A02}"/>
    <hyperlink ref="C4" r:id="rId2" xr:uid="{5E823A6D-5B6C-7F40-886A-572B15D43AE4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FF56B-C66F-FF49-8338-B9ED8E105B28}">
  <dimension ref="A1:I9"/>
  <sheetViews>
    <sheetView workbookViewId="0">
      <selection activeCell="E5" sqref="E5"/>
    </sheetView>
  </sheetViews>
  <sheetFormatPr baseColWidth="10" defaultRowHeight="15" x14ac:dyDescent="0.2"/>
  <cols>
    <col min="1" max="1" width="29.6640625" customWidth="1"/>
    <col min="2" max="2" width="15.5" bestFit="1" customWidth="1"/>
    <col min="3" max="4" width="15.5" customWidth="1"/>
    <col min="5" max="5" width="18" bestFit="1" customWidth="1"/>
    <col min="6" max="6" width="19.1640625" bestFit="1" customWidth="1"/>
    <col min="7" max="7" width="19.1640625" customWidth="1"/>
    <col min="8" max="8" width="21.5" bestFit="1" customWidth="1"/>
    <col min="9" max="9" width="21.33203125" bestFit="1" customWidth="1"/>
  </cols>
  <sheetData>
    <row r="1" spans="1:9" ht="128" thickBot="1" x14ac:dyDescent="0.25">
      <c r="A1" s="102" t="s">
        <v>196</v>
      </c>
      <c r="B1" s="102" t="s">
        <v>197</v>
      </c>
      <c r="C1" s="102" t="s">
        <v>217</v>
      </c>
      <c r="D1" s="102" t="s">
        <v>274</v>
      </c>
      <c r="E1" s="102" t="s">
        <v>218</v>
      </c>
      <c r="F1" s="102" t="s">
        <v>219</v>
      </c>
      <c r="G1" s="102" t="s">
        <v>273</v>
      </c>
      <c r="H1" s="102" t="s">
        <v>220</v>
      </c>
      <c r="I1" s="102" t="s">
        <v>198</v>
      </c>
    </row>
    <row r="2" spans="1:9" ht="51" thickBot="1" x14ac:dyDescent="0.25">
      <c r="A2" s="103" t="s">
        <v>199</v>
      </c>
      <c r="B2" s="109" t="s">
        <v>200</v>
      </c>
      <c r="C2" s="107">
        <v>-150</v>
      </c>
      <c r="D2" s="107">
        <v>40</v>
      </c>
      <c r="E2" s="105">
        <v>670</v>
      </c>
      <c r="F2" s="104">
        <v>0.03</v>
      </c>
      <c r="G2" s="104">
        <v>0.2</v>
      </c>
      <c r="H2" s="104">
        <v>1</v>
      </c>
      <c r="I2" s="104">
        <v>7</v>
      </c>
    </row>
    <row r="3" spans="1:9" ht="51" thickBot="1" x14ac:dyDescent="0.25">
      <c r="A3" s="103" t="s">
        <v>201</v>
      </c>
      <c r="B3" s="109" t="s">
        <v>200</v>
      </c>
      <c r="C3" s="107">
        <v>20</v>
      </c>
      <c r="D3" s="107">
        <v>70</v>
      </c>
      <c r="E3" s="105">
        <v>540</v>
      </c>
      <c r="F3" s="104">
        <v>1E-3</v>
      </c>
      <c r="G3" s="104">
        <v>3.7</v>
      </c>
      <c r="H3" s="104">
        <v>18</v>
      </c>
      <c r="I3" s="104">
        <v>3</v>
      </c>
    </row>
    <row r="4" spans="1:9" ht="51" thickBot="1" x14ac:dyDescent="0.25">
      <c r="A4" s="103" t="s">
        <v>202</v>
      </c>
      <c r="B4" s="109" t="s">
        <v>200</v>
      </c>
      <c r="C4" s="107">
        <v>3</v>
      </c>
      <c r="D4" s="107">
        <f>(C4+E4)/2</f>
        <v>1734</v>
      </c>
      <c r="E4" s="105">
        <v>3465</v>
      </c>
      <c r="F4" s="104">
        <v>1E-3</v>
      </c>
      <c r="G4" s="104">
        <f>G3</f>
        <v>3.7</v>
      </c>
      <c r="H4" s="104">
        <v>18</v>
      </c>
      <c r="I4" s="104">
        <v>3</v>
      </c>
    </row>
    <row r="5" spans="1:9" ht="76" thickBot="1" x14ac:dyDescent="0.25">
      <c r="A5" s="103" t="s">
        <v>203</v>
      </c>
      <c r="B5" s="111" t="s">
        <v>204</v>
      </c>
      <c r="C5" s="105">
        <v>2</v>
      </c>
      <c r="D5" s="105">
        <v>30</v>
      </c>
      <c r="E5" s="105">
        <v>100</v>
      </c>
      <c r="F5" s="104">
        <v>0.01</v>
      </c>
      <c r="G5" s="104">
        <v>1.1000000000000001</v>
      </c>
      <c r="H5" s="104">
        <v>14</v>
      </c>
      <c r="I5" s="108">
        <v>8</v>
      </c>
    </row>
    <row r="6" spans="1:9" ht="76" thickBot="1" x14ac:dyDescent="0.25">
      <c r="A6" s="103" t="s">
        <v>205</v>
      </c>
      <c r="B6" s="111" t="s">
        <v>204</v>
      </c>
      <c r="C6" s="106">
        <v>5.5</v>
      </c>
      <c r="D6" s="106">
        <v>8</v>
      </c>
      <c r="E6" s="105">
        <v>11</v>
      </c>
      <c r="F6" s="104">
        <v>0.1</v>
      </c>
      <c r="G6" s="104">
        <v>1.3</v>
      </c>
      <c r="H6" s="104">
        <v>13</v>
      </c>
      <c r="I6" s="104">
        <v>7</v>
      </c>
    </row>
    <row r="7" spans="1:9" ht="76" thickBot="1" x14ac:dyDescent="0.25">
      <c r="A7" s="103" t="s">
        <v>206</v>
      </c>
      <c r="B7" s="111" t="s">
        <v>204</v>
      </c>
      <c r="C7" s="105">
        <v>10</v>
      </c>
      <c r="D7" s="105">
        <v>30</v>
      </c>
      <c r="E7" s="105">
        <v>290</v>
      </c>
      <c r="F7" s="104">
        <v>1</v>
      </c>
      <c r="G7" s="104">
        <v>4</v>
      </c>
      <c r="H7" s="104">
        <v>11</v>
      </c>
      <c r="I7" s="104">
        <v>7</v>
      </c>
    </row>
    <row r="8" spans="1:9" ht="51" thickBot="1" x14ac:dyDescent="0.25">
      <c r="A8" s="103" t="s">
        <v>210</v>
      </c>
      <c r="B8" s="111" t="s">
        <v>207</v>
      </c>
      <c r="C8" s="105">
        <v>17</v>
      </c>
      <c r="D8" s="105">
        <v>40</v>
      </c>
      <c r="E8" s="105">
        <v>50</v>
      </c>
      <c r="F8" s="104">
        <v>0.05</v>
      </c>
      <c r="G8" s="104">
        <v>65</v>
      </c>
      <c r="H8" s="104">
        <v>370</v>
      </c>
      <c r="I8" s="104">
        <v>8</v>
      </c>
    </row>
    <row r="9" spans="1:9" ht="51" thickBot="1" x14ac:dyDescent="0.25">
      <c r="A9" s="103" t="s">
        <v>208</v>
      </c>
      <c r="B9" s="110" t="s">
        <v>209</v>
      </c>
      <c r="C9" s="105">
        <v>30</v>
      </c>
      <c r="D9" s="105">
        <v>345</v>
      </c>
      <c r="E9" s="105">
        <v>1050</v>
      </c>
      <c r="F9" s="104">
        <v>4.0000000000000002E-4</v>
      </c>
      <c r="G9" s="104">
        <v>1</v>
      </c>
      <c r="H9" s="104">
        <v>16</v>
      </c>
      <c r="I9" s="104">
        <v>7</v>
      </c>
    </row>
  </sheetData>
  <conditionalFormatting sqref="C2:D9">
    <cfRule type="colorScale" priority="8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E2:E9">
    <cfRule type="colorScale" priority="7">
      <colorScale>
        <cfvo type="min"/>
        <cfvo type="percentile" val="50"/>
        <cfvo type="max"/>
        <color rgb="FF00B050"/>
        <color rgb="FFFFEB84"/>
        <color rgb="FFFF0000"/>
      </colorScale>
    </cfRule>
    <cfRule type="colorScale" priority="9">
      <colorScale>
        <cfvo type="min"/>
        <cfvo type="percentile" val="50"/>
        <cfvo type="max"/>
        <color rgb="FF92D050"/>
        <color rgb="FFFFEB84"/>
        <color rgb="FFFF0000"/>
      </colorScale>
    </cfRule>
    <cfRule type="colorScale" priority="10">
      <colorScale>
        <cfvo type="min"/>
        <cfvo type="percentile" val="50"/>
        <cfvo type="max"/>
        <color rgb="FFFF7128"/>
        <color rgb="FFFFEB84"/>
        <color rgb="FFFFEF9C"/>
      </colorScale>
    </cfRule>
    <cfRule type="colorScale" priority="11">
      <colorScale>
        <cfvo type="min"/>
        <cfvo type="percentile" val="50"/>
        <cfvo type="max"/>
        <color rgb="FFFF7128"/>
        <color rgb="FFFFEB84"/>
        <color rgb="FFFFEF9C"/>
      </colorScale>
    </cfRule>
  </conditionalFormatting>
  <conditionalFormatting sqref="F2:G9">
    <cfRule type="colorScale" priority="6">
      <colorScale>
        <cfvo type="min"/>
        <cfvo type="percentile" val="50"/>
        <cfvo type="max"/>
        <color rgb="FFFF0000"/>
        <color rgb="FFFFEB84"/>
        <color rgb="FF00B050"/>
      </colorScale>
    </cfRule>
  </conditionalFormatting>
  <conditionalFormatting sqref="H2:H9">
    <cfRule type="colorScale" priority="1">
      <colorScale>
        <cfvo type="min"/>
        <cfvo type="percentile" val="50"/>
        <cfvo type="percentile" val="50"/>
        <color rgb="FFFF7128"/>
        <color rgb="FFFFEB84"/>
        <color rgb="FF00B050"/>
      </colorScale>
    </cfRule>
    <cfRule type="colorScale" priority="2">
      <colorScale>
        <cfvo type="min"/>
        <cfvo type="percentile" val="50"/>
        <cfvo type="max"/>
        <color rgb="FFFF7128"/>
        <color rgb="FFFFEB84"/>
        <color rgb="FF00B050"/>
      </colorScale>
    </cfRule>
    <cfRule type="colorScale" priority="3">
      <colorScale>
        <cfvo type="percentile" val="10"/>
        <cfvo type="num" val="11"/>
        <cfvo type="max"/>
        <color rgb="FFFF7128"/>
        <color rgb="FFFFEB84"/>
        <color rgb="FFFFEF9C"/>
      </colorScale>
    </cfRule>
    <cfRule type="colorScale" priority="5">
      <colorScale>
        <cfvo type="min"/>
        <cfvo type="percentile" val="50"/>
        <cfvo type="max"/>
        <color rgb="FFFF0000"/>
        <color rgb="FFFFEB84"/>
        <color rgb="FF00B050"/>
      </colorScale>
    </cfRule>
  </conditionalFormatting>
  <conditionalFormatting sqref="I2:I9">
    <cfRule type="colorScale" priority="4">
      <colorScale>
        <cfvo type="min"/>
        <cfvo type="percentile" val="50"/>
        <cfvo type="max"/>
        <color rgb="FFFF0000"/>
        <color rgb="FFFFEB84"/>
        <color rgb="FF00B05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Inputs</vt:lpstr>
      <vt:lpstr>Capital Costs</vt:lpstr>
      <vt:lpstr>Operating Costs</vt:lpstr>
      <vt:lpstr>Direct Cost Breakdown </vt:lpstr>
      <vt:lpstr>FCI, Taxes, Insurance</vt:lpstr>
      <vt:lpstr>Outputs</vt:lpstr>
      <vt:lpstr>Overall</vt:lpstr>
      <vt:lpstr>CO2 Requirement</vt:lpstr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</dc:creator>
  <cp:lastModifiedBy>Luke Thomas Plante</cp:lastModifiedBy>
  <dcterms:created xsi:type="dcterms:W3CDTF">2024-05-06T14:41:44Z</dcterms:created>
  <dcterms:modified xsi:type="dcterms:W3CDTF">2026-04-17T13:40:33Z</dcterms:modified>
</cp:coreProperties>
</file>